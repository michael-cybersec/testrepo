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c\Documents\Freelance Training\Maquarie Uni\MOOCS\Course4\Assessments\"/>
    </mc:Choice>
  </mc:AlternateContent>
  <xr:revisionPtr revIDLastSave="0" documentId="8_{4011889C-31CC-4CD7-A835-C17962169B0B}" xr6:coauthVersionLast="47" xr6:coauthVersionMax="47" xr10:uidLastSave="{00000000-0000-0000-0000-000000000000}"/>
  <bookViews>
    <workbookView xWindow="0" yWindow="0" windowWidth="24686" windowHeight="11606" firstSheet="1" activeTab="9" xr2:uid="{9EEB0E7B-32FE-4B3E-9361-5E30EC76F173}"/>
  </bookViews>
  <sheets>
    <sheet name="CheckSum" sheetId="12" state="hidden" r:id="rId1"/>
    <sheet name="Introduction" sheetId="15" r:id="rId2"/>
    <sheet name="Part 1" sheetId="10" r:id="rId3"/>
    <sheet name="Data1" sheetId="6" r:id="rId4"/>
    <sheet name="Workings_1" sheetId="11" r:id="rId5"/>
    <sheet name="SummaryHigh" sheetId="7" r:id="rId6"/>
    <sheet name="SummaryLow" sheetId="8" r:id="rId7"/>
    <sheet name="MonthSorted" sheetId="9" r:id="rId8"/>
    <sheet name="Part 2" sheetId="13" r:id="rId9"/>
    <sheet name="Scenarios" sheetId="21" r:id="rId10"/>
    <sheet name="Rate_500" sheetId="14" r:id="rId11"/>
    <sheet name="Rate_550" sheetId="16" r:id="rId12"/>
    <sheet name="Rate_600" sheetId="17" r:id="rId13"/>
    <sheet name="Rate_650" sheetId="18" r:id="rId14"/>
    <sheet name="Rate_700" sheetId="19" r:id="rId15"/>
    <sheet name="Rate_750" sheetId="20" r:id="rId16"/>
  </sheets>
  <externalReferences>
    <externalReference r:id="rId17"/>
  </externalReferences>
  <definedNames>
    <definedName name="checkInd">CheckSum!$A$103</definedName>
    <definedName name="CheckSumHigh">IFERROR(MMULT(TRANSPOSE(CS_Seq1),CS_TableHigh),0)</definedName>
    <definedName name="CheckSumLow">IFERROR(MMULT(TRANSPOSE(CS_Seq1),CS_TableLow),0)</definedName>
    <definedName name="CheckSumSortCity">IFERROR(SUMPRODUCT(CS_Seq1,CODE(CS_SortCity)),0)</definedName>
    <definedName name="CheckSumSortTemp">SUMPRODUCT(CS_SortTemp,CS_Seq1)</definedName>
    <definedName name="CS_Int">CheckSum!$A$2:$A$51</definedName>
    <definedName name="CS_Seq1">CheckSum!$B$2:$B$51</definedName>
    <definedName name="CS_SortCity">MonthSorted!$B$5:$B$54</definedName>
    <definedName name="CS_SortTemp">MonthSorted!$C$5:$C$54</definedName>
    <definedName name="CS_TableHigh">SummaryHigh!$D$5:$O$54</definedName>
    <definedName name="CS_TableLow">SummaryLow!$D$5:$O$54</definedName>
    <definedName name="ListCity">CheckSum!$D$2:$D$51</definedName>
    <definedName name="ListsMonthShort">CheckSum!$E$2:$P$2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21" l="1"/>
  <c r="G55" i="21" s="1"/>
  <c r="F56" i="21"/>
  <c r="G56" i="21" s="1"/>
  <c r="F57" i="21"/>
  <c r="G57" i="21" s="1"/>
  <c r="F58" i="21"/>
  <c r="G58" i="21" s="1"/>
  <c r="F59" i="21"/>
  <c r="G59" i="21" s="1"/>
  <c r="F60" i="21"/>
  <c r="G60" i="21" s="1"/>
  <c r="F61" i="21"/>
  <c r="G61" i="21" s="1"/>
  <c r="F62" i="21"/>
  <c r="G62" i="21" s="1"/>
  <c r="F63" i="21"/>
  <c r="G63" i="21" s="1"/>
  <c r="F64" i="21"/>
  <c r="G64" i="21" s="1"/>
  <c r="F65" i="21"/>
  <c r="G65" i="21" s="1"/>
  <c r="F66" i="21"/>
  <c r="G66" i="21" s="1"/>
  <c r="F67" i="21"/>
  <c r="G67" i="21" s="1"/>
  <c r="F68" i="21"/>
  <c r="G68" i="21" s="1"/>
  <c r="F69" i="21"/>
  <c r="G69" i="21" s="1"/>
  <c r="F70" i="21"/>
  <c r="G70" i="21" s="1"/>
  <c r="F71" i="21"/>
  <c r="G71" i="21" s="1"/>
  <c r="F72" i="21"/>
  <c r="G72" i="21" s="1"/>
  <c r="F73" i="21"/>
  <c r="G73" i="21" s="1"/>
  <c r="F74" i="21"/>
  <c r="G74" i="21" s="1"/>
  <c r="F75" i="21"/>
  <c r="G75" i="21" s="1"/>
  <c r="F76" i="21"/>
  <c r="G76" i="21" s="1"/>
  <c r="F77" i="21"/>
  <c r="G77" i="21" s="1"/>
  <c r="F78" i="21"/>
  <c r="G78" i="21" s="1"/>
  <c r="F79" i="21"/>
  <c r="G79" i="21" s="1"/>
  <c r="F80" i="21"/>
  <c r="G80" i="21" s="1"/>
  <c r="F81" i="21"/>
  <c r="G81" i="21" s="1"/>
  <c r="F82" i="21"/>
  <c r="G82" i="21" s="1"/>
  <c r="F83" i="21"/>
  <c r="G83" i="21" s="1"/>
  <c r="F54" i="21"/>
  <c r="G54" i="21" s="1"/>
  <c r="B6" i="9" a="1"/>
  <c r="B6" i="9"/>
  <c r="B7" i="9" a="1"/>
  <c r="B7" i="9"/>
  <c r="B8" i="9" a="1"/>
  <c r="B8" i="9"/>
  <c r="B9" i="9" a="1"/>
  <c r="B9" i="9"/>
  <c r="B10" i="9" a="1"/>
  <c r="B10" i="9"/>
  <c r="B11" i="9" a="1"/>
  <c r="B11" i="9"/>
  <c r="B12" i="9" a="1"/>
  <c r="B12" i="9"/>
  <c r="B13" i="9" a="1"/>
  <c r="B13" i="9"/>
  <c r="B14" i="9" a="1"/>
  <c r="B14" i="9"/>
  <c r="B15" i="9" a="1"/>
  <c r="B15" i="9"/>
  <c r="B16" i="9" a="1"/>
  <c r="B16" i="9"/>
  <c r="B17" i="9" a="1"/>
  <c r="B17" i="9"/>
  <c r="B18" i="9" a="1"/>
  <c r="B18" i="9"/>
  <c r="B19" i="9" a="1"/>
  <c r="B19" i="9"/>
  <c r="B20" i="9" a="1"/>
  <c r="B20" i="9"/>
  <c r="B21" i="9" a="1"/>
  <c r="B21" i="9"/>
  <c r="B22" i="9" a="1"/>
  <c r="B22" i="9"/>
  <c r="B23" i="9" a="1"/>
  <c r="B23" i="9"/>
  <c r="B24" i="9" a="1"/>
  <c r="B24" i="9"/>
  <c r="B25" i="9" a="1"/>
  <c r="B25" i="9"/>
  <c r="B26" i="9" a="1"/>
  <c r="B26" i="9"/>
  <c r="B27" i="9" a="1"/>
  <c r="B27" i="9"/>
  <c r="B28" i="9" a="1"/>
  <c r="B28" i="9"/>
  <c r="B29" i="9" a="1"/>
  <c r="B29" i="9"/>
  <c r="B30" i="9" a="1"/>
  <c r="B30" i="9"/>
  <c r="B31" i="9" a="1"/>
  <c r="B31" i="9"/>
  <c r="B32" i="9" a="1"/>
  <c r="B32" i="9"/>
  <c r="B33" i="9" a="1"/>
  <c r="B33" i="9"/>
  <c r="B34" i="9" a="1"/>
  <c r="B34" i="9"/>
  <c r="B35" i="9" a="1"/>
  <c r="B35" i="9"/>
  <c r="B36" i="9" a="1"/>
  <c r="B36" i="9"/>
  <c r="B37" i="9" a="1"/>
  <c r="B37" i="9"/>
  <c r="B38" i="9" a="1"/>
  <c r="B38" i="9"/>
  <c r="B39" i="9" a="1"/>
  <c r="B39" i="9"/>
  <c r="B40" i="9" a="1"/>
  <c r="B40" i="9"/>
  <c r="B41" i="9" a="1"/>
  <c r="B41" i="9"/>
  <c r="B42" i="9" a="1"/>
  <c r="B42" i="9"/>
  <c r="B43" i="9" a="1"/>
  <c r="B43" i="9"/>
  <c r="B44" i="9" a="1"/>
  <c r="B44" i="9"/>
  <c r="B45" i="9" a="1"/>
  <c r="B45" i="9"/>
  <c r="B46" i="9" a="1"/>
  <c r="B46" i="9"/>
  <c r="B47" i="9" a="1"/>
  <c r="B47" i="9"/>
  <c r="B48" i="9" a="1"/>
  <c r="B48" i="9"/>
  <c r="B49" i="9" a="1"/>
  <c r="B49" i="9"/>
  <c r="B50" i="9" a="1"/>
  <c r="B50" i="9"/>
  <c r="B51" i="9" a="1"/>
  <c r="B51" i="9"/>
  <c r="B52" i="9" a="1"/>
  <c r="B52" i="9"/>
  <c r="B53" i="9" a="1"/>
  <c r="B53" i="9"/>
  <c r="B54" i="9" a="1"/>
  <c r="B54" i="9"/>
  <c r="C6" i="9" a="1"/>
  <c r="C6" i="9"/>
  <c r="C7" i="9" a="1"/>
  <c r="C7" i="9"/>
  <c r="C8" i="9" a="1"/>
  <c r="C8" i="9"/>
  <c r="C9" i="9" a="1"/>
  <c r="C9" i="9"/>
  <c r="C10" i="9" a="1"/>
  <c r="C10" i="9"/>
  <c r="C11" i="9" a="1"/>
  <c r="C11" i="9"/>
  <c r="C12" i="9" a="1"/>
  <c r="C12" i="9"/>
  <c r="C13" i="9" a="1"/>
  <c r="C13" i="9"/>
  <c r="C14" i="9" a="1"/>
  <c r="C14" i="9"/>
  <c r="C15" i="9" a="1"/>
  <c r="C15" i="9"/>
  <c r="C16" i="9" a="1"/>
  <c r="C16" i="9"/>
  <c r="C17" i="9" a="1"/>
  <c r="C17" i="9"/>
  <c r="C18" i="9" a="1"/>
  <c r="C18" i="9"/>
  <c r="C19" i="9" a="1"/>
  <c r="C19" i="9"/>
  <c r="C20" i="9" a="1"/>
  <c r="C20" i="9"/>
  <c r="C21" i="9" a="1"/>
  <c r="C21" i="9"/>
  <c r="C22" i="9" a="1"/>
  <c r="C22" i="9"/>
  <c r="C23" i="9" a="1"/>
  <c r="C23" i="9"/>
  <c r="C24" i="9" a="1"/>
  <c r="C24" i="9"/>
  <c r="C25" i="9" a="1"/>
  <c r="C25" i="9"/>
  <c r="C26" i="9" a="1"/>
  <c r="C26" i="9"/>
  <c r="C27" i="9" a="1"/>
  <c r="C27" i="9"/>
  <c r="C28" i="9" a="1"/>
  <c r="C28" i="9"/>
  <c r="C29" i="9" a="1"/>
  <c r="C29" i="9"/>
  <c r="C30" i="9" a="1"/>
  <c r="C30" i="9"/>
  <c r="C31" i="9" a="1"/>
  <c r="C31" i="9"/>
  <c r="C32" i="9" a="1"/>
  <c r="C32" i="9"/>
  <c r="C33" i="9" a="1"/>
  <c r="C33" i="9"/>
  <c r="C34" i="9" a="1"/>
  <c r="C34" i="9"/>
  <c r="C35" i="9" a="1"/>
  <c r="C35" i="9"/>
  <c r="C36" i="9" a="1"/>
  <c r="C36" i="9"/>
  <c r="C37" i="9" a="1"/>
  <c r="C37" i="9"/>
  <c r="C38" i="9" a="1"/>
  <c r="C38" i="9"/>
  <c r="C39" i="9" a="1"/>
  <c r="C39" i="9"/>
  <c r="C40" i="9" a="1"/>
  <c r="C40" i="9"/>
  <c r="C41" i="9" a="1"/>
  <c r="C41" i="9"/>
  <c r="C42" i="9" a="1"/>
  <c r="C42" i="9"/>
  <c r="C43" i="9" a="1"/>
  <c r="C43" i="9"/>
  <c r="C44" i="9" a="1"/>
  <c r="C44" i="9"/>
  <c r="C45" i="9" a="1"/>
  <c r="C45" i="9"/>
  <c r="C46" i="9" a="1"/>
  <c r="C46" i="9"/>
  <c r="C47" i="9" a="1"/>
  <c r="C47" i="9"/>
  <c r="C48" i="9" a="1"/>
  <c r="C48" i="9"/>
  <c r="C49" i="9" a="1"/>
  <c r="C49" i="9"/>
  <c r="C50" i="9" a="1"/>
  <c r="C50" i="9"/>
  <c r="C51" i="9" a="1"/>
  <c r="C51" i="9"/>
  <c r="C52" i="9" a="1"/>
  <c r="C52" i="9"/>
  <c r="C53" i="9" a="1"/>
  <c r="C53" i="9"/>
  <c r="C54" i="9" a="1"/>
  <c r="C54" i="9"/>
  <c r="C5" i="9" a="1"/>
  <c r="C5" i="9" s="1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" i="9"/>
  <c r="K6" i="9" a="1"/>
  <c r="K6" i="9"/>
  <c r="K7" i="9" a="1"/>
  <c r="K7" i="9"/>
  <c r="K8" i="9" a="1"/>
  <c r="K8" i="9"/>
  <c r="K9" i="9" a="1"/>
  <c r="K9" i="9"/>
  <c r="K10" i="9" a="1"/>
  <c r="K10" i="9"/>
  <c r="K11" i="9" a="1"/>
  <c r="K11" i="9"/>
  <c r="K12" i="9" a="1"/>
  <c r="K12" i="9"/>
  <c r="K13" i="9" a="1"/>
  <c r="K13" i="9"/>
  <c r="K14" i="9" a="1"/>
  <c r="K14" i="9"/>
  <c r="K15" i="9" a="1"/>
  <c r="K15" i="9"/>
  <c r="K16" i="9" a="1"/>
  <c r="K16" i="9"/>
  <c r="K17" i="9" a="1"/>
  <c r="K17" i="9"/>
  <c r="K18" i="9" a="1"/>
  <c r="K18" i="9"/>
  <c r="K19" i="9" a="1"/>
  <c r="K19" i="9"/>
  <c r="K20" i="9" a="1"/>
  <c r="K20" i="9"/>
  <c r="K21" i="9" a="1"/>
  <c r="K21" i="9"/>
  <c r="K22" i="9" a="1"/>
  <c r="K22" i="9"/>
  <c r="K23" i="9" a="1"/>
  <c r="K23" i="9"/>
  <c r="K24" i="9" a="1"/>
  <c r="K24" i="9"/>
  <c r="K25" i="9" a="1"/>
  <c r="K25" i="9"/>
  <c r="K26" i="9" a="1"/>
  <c r="K26" i="9"/>
  <c r="K27" i="9" a="1"/>
  <c r="K27" i="9"/>
  <c r="K28" i="9" a="1"/>
  <c r="K28" i="9"/>
  <c r="K29" i="9" a="1"/>
  <c r="K29" i="9"/>
  <c r="K30" i="9" a="1"/>
  <c r="K30" i="9"/>
  <c r="K31" i="9" a="1"/>
  <c r="K31" i="9"/>
  <c r="K32" i="9" a="1"/>
  <c r="K32" i="9"/>
  <c r="K33" i="9" a="1"/>
  <c r="K33" i="9"/>
  <c r="K34" i="9" a="1"/>
  <c r="K34" i="9"/>
  <c r="K35" i="9" a="1"/>
  <c r="K35" i="9"/>
  <c r="K36" i="9" a="1"/>
  <c r="K36" i="9"/>
  <c r="K37" i="9" a="1"/>
  <c r="K37" i="9"/>
  <c r="K38" i="9" a="1"/>
  <c r="K38" i="9"/>
  <c r="K39" i="9" a="1"/>
  <c r="K39" i="9"/>
  <c r="K40" i="9" a="1"/>
  <c r="K40" i="9"/>
  <c r="K41" i="9" a="1"/>
  <c r="K41" i="9"/>
  <c r="K42" i="9" a="1"/>
  <c r="K42" i="9"/>
  <c r="K43" i="9" a="1"/>
  <c r="K43" i="9"/>
  <c r="K44" i="9" a="1"/>
  <c r="K44" i="9"/>
  <c r="K45" i="9" a="1"/>
  <c r="K45" i="9"/>
  <c r="K46" i="9" a="1"/>
  <c r="K46" i="9"/>
  <c r="K47" i="9" a="1"/>
  <c r="K47" i="9"/>
  <c r="K48" i="9" a="1"/>
  <c r="K48" i="9"/>
  <c r="K49" i="9" a="1"/>
  <c r="K49" i="9"/>
  <c r="K50" i="9" a="1"/>
  <c r="K50" i="9"/>
  <c r="K51" i="9" a="1"/>
  <c r="K51" i="9"/>
  <c r="K52" i="9" a="1"/>
  <c r="K52" i="9"/>
  <c r="K53" i="9" a="1"/>
  <c r="K53" i="9"/>
  <c r="K54" i="9" a="1"/>
  <c r="K54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K2" i="9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" i="8"/>
  <c r="F5" i="8"/>
  <c r="G5" i="8"/>
  <c r="H5" i="8"/>
  <c r="I5" i="8"/>
  <c r="J5" i="8"/>
  <c r="K5" i="8"/>
  <c r="L5" i="8"/>
  <c r="M5" i="8"/>
  <c r="N5" i="8"/>
  <c r="O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" i="8"/>
  <c r="D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" i="7"/>
  <c r="F5" i="7"/>
  <c r="G5" i="7"/>
  <c r="H5" i="7"/>
  <c r="I5" i="7"/>
  <c r="J5" i="7"/>
  <c r="K5" i="7"/>
  <c r="L5" i="7"/>
  <c r="M5" i="7"/>
  <c r="N5" i="7"/>
  <c r="O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E55" i="7"/>
  <c r="F55" i="7"/>
  <c r="G55" i="7"/>
  <c r="H55" i="7"/>
  <c r="I55" i="7"/>
  <c r="J55" i="7"/>
  <c r="K55" i="7"/>
  <c r="L55" i="7"/>
  <c r="M55" i="7"/>
  <c r="N55" i="7"/>
  <c r="O55" i="7"/>
  <c r="D55" i="7"/>
  <c r="D57" i="7" a="1"/>
  <c r="O57" i="7"/>
  <c r="E55" i="8"/>
  <c r="F55" i="8"/>
  <c r="G55" i="8"/>
  <c r="H55" i="8"/>
  <c r="I55" i="8"/>
  <c r="J55" i="8"/>
  <c r="K55" i="8"/>
  <c r="L55" i="8"/>
  <c r="M55" i="8"/>
  <c r="N55" i="8"/>
  <c r="O55" i="8"/>
  <c r="D55" i="8"/>
  <c r="K5" i="9" l="1" a="1"/>
  <c r="K5" i="9" s="1"/>
  <c r="D57" i="7"/>
  <c r="E57" i="7"/>
  <c r="F57" i="7"/>
  <c r="G57" i="7"/>
  <c r="H57" i="7"/>
  <c r="I57" i="7"/>
  <c r="J57" i="7"/>
  <c r="K57" i="7"/>
  <c r="L57" i="7"/>
  <c r="M57" i="7"/>
  <c r="N57" i="7"/>
  <c r="D62" i="8"/>
  <c r="G85" i="21"/>
  <c r="F85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A5" i="9" a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B5" i="8" a="1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7" a="1"/>
  <c r="B5" i="7"/>
  <c r="J5" i="9" s="1"/>
  <c r="B6" i="7"/>
  <c r="J6" i="9" s="1"/>
  <c r="B7" i="7"/>
  <c r="J7" i="9" s="1"/>
  <c r="B8" i="7"/>
  <c r="J8" i="9" s="1"/>
  <c r="B9" i="7"/>
  <c r="J9" i="9" s="1"/>
  <c r="B10" i="7"/>
  <c r="J10" i="9" s="1"/>
  <c r="B11" i="7"/>
  <c r="J11" i="9" s="1"/>
  <c r="B12" i="7"/>
  <c r="J12" i="9" s="1"/>
  <c r="B13" i="7"/>
  <c r="J13" i="9" s="1"/>
  <c r="B14" i="7"/>
  <c r="J14" i="9" s="1"/>
  <c r="B15" i="7"/>
  <c r="J15" i="9" s="1"/>
  <c r="B16" i="7"/>
  <c r="J16" i="9" s="1"/>
  <c r="B17" i="7"/>
  <c r="J17" i="9" s="1"/>
  <c r="B18" i="7"/>
  <c r="J18" i="9" s="1"/>
  <c r="B19" i="7"/>
  <c r="J19" i="9" s="1"/>
  <c r="B20" i="7"/>
  <c r="J20" i="9" s="1"/>
  <c r="B21" i="7"/>
  <c r="J21" i="9" s="1"/>
  <c r="B22" i="7"/>
  <c r="J22" i="9" s="1"/>
  <c r="B23" i="7"/>
  <c r="J23" i="9" s="1"/>
  <c r="B24" i="7"/>
  <c r="J24" i="9" s="1"/>
  <c r="B25" i="7"/>
  <c r="J25" i="9" s="1"/>
  <c r="B26" i="7"/>
  <c r="J26" i="9" s="1"/>
  <c r="B27" i="7"/>
  <c r="J27" i="9" s="1"/>
  <c r="B28" i="7"/>
  <c r="J28" i="9" s="1"/>
  <c r="B29" i="7"/>
  <c r="J29" i="9" s="1"/>
  <c r="B30" i="7"/>
  <c r="J30" i="9" s="1"/>
  <c r="B31" i="7"/>
  <c r="J31" i="9" s="1"/>
  <c r="B32" i="7"/>
  <c r="J32" i="9" s="1"/>
  <c r="B33" i="7"/>
  <c r="J33" i="9" s="1"/>
  <c r="B34" i="7"/>
  <c r="J34" i="9" s="1"/>
  <c r="B35" i="7"/>
  <c r="J35" i="9" s="1"/>
  <c r="B36" i="7"/>
  <c r="J36" i="9" s="1"/>
  <c r="B37" i="7"/>
  <c r="J37" i="9" s="1"/>
  <c r="B38" i="7"/>
  <c r="J38" i="9" s="1"/>
  <c r="B39" i="7"/>
  <c r="J39" i="9" s="1"/>
  <c r="B40" i="7"/>
  <c r="J40" i="9" s="1"/>
  <c r="B41" i="7"/>
  <c r="J41" i="9" s="1"/>
  <c r="B42" i="7"/>
  <c r="J42" i="9" s="1"/>
  <c r="B43" i="7"/>
  <c r="J43" i="9" s="1"/>
  <c r="B44" i="7"/>
  <c r="J44" i="9" s="1"/>
  <c r="B45" i="7"/>
  <c r="J45" i="9" s="1"/>
  <c r="B46" i="7"/>
  <c r="J46" i="9" s="1"/>
  <c r="B47" i="7"/>
  <c r="J47" i="9" s="1"/>
  <c r="B48" i="7"/>
  <c r="J48" i="9" s="1"/>
  <c r="B49" i="7"/>
  <c r="J49" i="9" s="1"/>
  <c r="B50" i="7"/>
  <c r="J50" i="9" s="1"/>
  <c r="B51" i="7"/>
  <c r="J51" i="9" s="1"/>
  <c r="B52" i="7"/>
  <c r="J52" i="9" s="1"/>
  <c r="B53" i="7"/>
  <c r="J53" i="9" s="1"/>
  <c r="B54" i="7"/>
  <c r="J54" i="9" s="1"/>
  <c r="D4" i="8" a="1"/>
  <c r="D4" i="8"/>
  <c r="E4" i="8"/>
  <c r="F4" i="8"/>
  <c r="G4" i="8"/>
  <c r="H4" i="8"/>
  <c r="I4" i="8"/>
  <c r="J4" i="8"/>
  <c r="K4" i="8"/>
  <c r="L4" i="8"/>
  <c r="M4" i="8"/>
  <c r="N4" i="8"/>
  <c r="O4" i="8"/>
  <c r="D4" i="7" a="1"/>
  <c r="D4" i="7"/>
  <c r="E4" i="7"/>
  <c r="F4" i="7"/>
  <c r="G4" i="7"/>
  <c r="H4" i="7"/>
  <c r="I4" i="7"/>
  <c r="J4" i="7"/>
  <c r="K4" i="7"/>
  <c r="L4" i="7"/>
  <c r="M4" i="7"/>
  <c r="N4" i="7"/>
  <c r="O4" i="7"/>
  <c r="D57" i="8" a="1"/>
  <c r="E57" i="8" s="1"/>
  <c r="K57" i="8"/>
  <c r="C56" i="9"/>
  <c r="L5" i="9" l="1"/>
  <c r="O5" i="9"/>
  <c r="O57" i="8"/>
  <c r="G57" i="8"/>
  <c r="M57" i="8"/>
  <c r="I57" i="8"/>
  <c r="Q6" i="7"/>
  <c r="D57" i="8"/>
  <c r="F57" i="8"/>
  <c r="H57" i="8"/>
  <c r="J57" i="8"/>
  <c r="L57" i="8"/>
  <c r="N57" i="8"/>
  <c r="B5" i="9" a="1"/>
  <c r="B5" i="9" s="1"/>
  <c r="B56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<sst xmlns="http://schemas.openxmlformats.org/spreadsheetml/2006/main" count="872" uniqueCount="690">
  <si>
    <t>CS_Int</t>
  </si>
  <si>
    <t>CS_Seq1</t>
  </si>
  <si>
    <t>ListCity</t>
  </si>
  <si>
    <t>ListMonthShort</t>
  </si>
  <si>
    <t>Atlanta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</si>
  <si>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</si>
  <si>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</si>
  <si>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</si>
  <si>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</si>
  <si>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</si>
  <si>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</si>
  <si>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</si>
  <si>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</si>
  <si>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</si>
  <si>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</si>
  <si>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</si>
  <si>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</si>
  <si>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Austin</t>
  </si>
  <si>
    <t>Baltimore</t>
  </si>
  <si>
    <t>Birmingham</t>
  </si>
  <si>
    <t>Boston</t>
  </si>
  <si>
    <t>Buffalo</t>
  </si>
  <si>
    <t>Charlotte</t>
  </si>
  <si>
    <t>Chicago</t>
  </si>
  <si>
    <t>Cincinnati</t>
  </si>
  <si>
    <t>Cleveland</t>
  </si>
  <si>
    <t>Columbus</t>
  </si>
  <si>
    <t>Dallas</t>
  </si>
  <si>
    <t>Denver</t>
  </si>
  <si>
    <t>Detroit</t>
  </si>
  <si>
    <t>Hartford</t>
  </si>
  <si>
    <t>Houston</t>
  </si>
  <si>
    <t>Indianapolis</t>
  </si>
  <si>
    <t>Jacksonville</t>
  </si>
  <si>
    <t>Kansas City</t>
  </si>
  <si>
    <t>Las Vegas</t>
  </si>
  <si>
    <t>Los Angeles</t>
  </si>
  <si>
    <t>Louisville</t>
  </si>
  <si>
    <t>Memphis</t>
  </si>
  <si>
    <t>Miami</t>
  </si>
  <si>
    <t>Milwaukee</t>
  </si>
  <si>
    <t>Minneapolis</t>
  </si>
  <si>
    <t>Nashville</t>
  </si>
  <si>
    <t>New Orleans</t>
  </si>
  <si>
    <t>New York</t>
  </si>
  <si>
    <t>Oklahoma City</t>
  </si>
  <si>
    <t>Orlando</t>
  </si>
  <si>
    <t>Philadelphia</t>
  </si>
  <si>
    <t>Phoenix</t>
  </si>
  <si>
    <t>Pittsburgh</t>
  </si>
  <si>
    <t>Portland</t>
  </si>
  <si>
    <t>Providence</t>
  </si>
  <si>
    <t>Raleigh</t>
  </si>
  <si>
    <t>Richmond</t>
  </si>
  <si>
    <t>Riverside</t>
  </si>
  <si>
    <t>Rochester</t>
  </si>
  <si>
    <t>Sacramento</t>
  </si>
  <si>
    <t>Salt Lake City</t>
  </si>
  <si>
    <t>San Antonio</t>
  </si>
  <si>
    <t>San Diego</t>
  </si>
  <si>
    <t>San Francisco</t>
  </si>
  <si>
    <t>San Jose</t>
  </si>
  <si>
    <t>Seattle</t>
  </si>
  <si>
    <t>St. Louis</t>
  </si>
  <si>
    <t>Tampa</t>
  </si>
  <si>
    <t>Virginia Beach</t>
  </si>
  <si>
    <t>Excel Skills for Business: Advanced</t>
  </si>
  <si>
    <t>End of Course - Assignment</t>
  </si>
  <si>
    <t>Final Assignment</t>
  </si>
  <si>
    <t>This sheet is intentionally blank</t>
  </si>
  <si>
    <t>Temperature Data</t>
  </si>
  <si>
    <t>Georgia</t>
  </si>
  <si>
    <t>M1H52L34</t>
  </si>
  <si>
    <t>M2H57L38</t>
  </si>
  <si>
    <t>M3H65L44</t>
  </si>
  <si>
    <t>M4H73L52</t>
  </si>
  <si>
    <t>M5H8ØL6Ø</t>
  </si>
  <si>
    <t>M6H86L68</t>
  </si>
  <si>
    <t>M7H89L71</t>
  </si>
  <si>
    <t>M8H88L71</t>
  </si>
  <si>
    <t>M9H82L65</t>
  </si>
  <si>
    <t>M1ØH73L54</t>
  </si>
  <si>
    <t>M11H64L45</t>
  </si>
  <si>
    <t>M12H54L37</t>
  </si>
  <si>
    <t>Texas</t>
  </si>
  <si>
    <t>M1H62L42</t>
  </si>
  <si>
    <t>M2H65L45</t>
  </si>
  <si>
    <t>M3H72L51</t>
  </si>
  <si>
    <t>M4H8ØL59</t>
  </si>
  <si>
    <t>M5H87L67</t>
  </si>
  <si>
    <t>M6H92L72</t>
  </si>
  <si>
    <t>M7H96L74</t>
  </si>
  <si>
    <t>M8H97L75</t>
  </si>
  <si>
    <t>M9H91L69</t>
  </si>
  <si>
    <t>M1ØH82L61</t>
  </si>
  <si>
    <t>M11H71L51</t>
  </si>
  <si>
    <t>M12H63L42</t>
  </si>
  <si>
    <t>Maryland</t>
  </si>
  <si>
    <t>M1H41L24</t>
  </si>
  <si>
    <t>M2H45L27</t>
  </si>
  <si>
    <t>M3H54L34</t>
  </si>
  <si>
    <t>M4H65L43</t>
  </si>
  <si>
    <t>M5H74L52</t>
  </si>
  <si>
    <t>M6H83L62</t>
  </si>
  <si>
    <t>M7H87L67</t>
  </si>
  <si>
    <t>M8H85L65</t>
  </si>
  <si>
    <t>M9H78L58</t>
  </si>
  <si>
    <t>M1ØH67L45</t>
  </si>
  <si>
    <t>M11H56L37</t>
  </si>
  <si>
    <t>M12H45L28</t>
  </si>
  <si>
    <t>Alabama</t>
  </si>
  <si>
    <t>M1H54L34</t>
  </si>
  <si>
    <t>M2H58L37</t>
  </si>
  <si>
    <t>M3H67L44</t>
  </si>
  <si>
    <t>M4H74L51</t>
  </si>
  <si>
    <t>M5H82L6Ø</t>
  </si>
  <si>
    <t>M6H88L68</t>
  </si>
  <si>
    <t>M7H91L71</t>
  </si>
  <si>
    <t>M8H91L71</t>
  </si>
  <si>
    <t>M9H85L64</t>
  </si>
  <si>
    <t>M1ØH75L53</t>
  </si>
  <si>
    <t>M11H65L44</t>
  </si>
  <si>
    <t>M12H56L36</t>
  </si>
  <si>
    <t>Massachusetts</t>
  </si>
  <si>
    <t>M1H36L22</t>
  </si>
  <si>
    <t>M2H39L25</t>
  </si>
  <si>
    <t>M3H45L31</t>
  </si>
  <si>
    <t>M4H56L41</t>
  </si>
  <si>
    <t>M5H66L5Ø</t>
  </si>
  <si>
    <t>M6H76L6Ø</t>
  </si>
  <si>
    <t>M7H81L65</t>
  </si>
  <si>
    <t>M8H8ØL65</t>
  </si>
  <si>
    <t>M9H72L57</t>
  </si>
  <si>
    <t>M1ØH61L47</t>
  </si>
  <si>
    <t>M11H52L38</t>
  </si>
  <si>
    <t>M12H41L28</t>
  </si>
  <si>
    <t>M1H31L19</t>
  </si>
  <si>
    <t>M2H33L19</t>
  </si>
  <si>
    <t>M3H42L26</t>
  </si>
  <si>
    <t>M4H55L37</t>
  </si>
  <si>
    <t>M5H67L47</t>
  </si>
  <si>
    <t>M6H75L57</t>
  </si>
  <si>
    <t>M7H8ØL62</t>
  </si>
  <si>
    <t>M8H78L61</t>
  </si>
  <si>
    <t>M9H71L53</t>
  </si>
  <si>
    <t>M1ØH59L43</t>
  </si>
  <si>
    <t>M11H48L34</t>
  </si>
  <si>
    <t>M12H36L24</t>
  </si>
  <si>
    <t>North Carolina</t>
  </si>
  <si>
    <t>M1H51L3Ø</t>
  </si>
  <si>
    <t>M2H55L33</t>
  </si>
  <si>
    <t>M3H63L39</t>
  </si>
  <si>
    <t>M4H72L47</t>
  </si>
  <si>
    <t>M5H79L56</t>
  </si>
  <si>
    <t>M6H86L65</t>
  </si>
  <si>
    <t>M7H89L68</t>
  </si>
  <si>
    <t>M8H88L67</t>
  </si>
  <si>
    <t>M9H81L6Ø</t>
  </si>
  <si>
    <t>M1ØH72L49</t>
  </si>
  <si>
    <t>M11H62L39</t>
  </si>
  <si>
    <t>M12H53L32</t>
  </si>
  <si>
    <t>Illinois</t>
  </si>
  <si>
    <t>M1H31L17</t>
  </si>
  <si>
    <t>M2H35L2Ø</t>
  </si>
  <si>
    <t>M3H47L29</t>
  </si>
  <si>
    <t>M4H59L39</t>
  </si>
  <si>
    <t>M5H7ØL48</t>
  </si>
  <si>
    <t>M6H8ØL58</t>
  </si>
  <si>
    <t>M7H84L64</t>
  </si>
  <si>
    <t>M8H82L63</t>
  </si>
  <si>
    <t>M9H75L54</t>
  </si>
  <si>
    <t>M1ØH62L43</t>
  </si>
  <si>
    <t>M11H48L32</t>
  </si>
  <si>
    <t>M12H35L21</t>
  </si>
  <si>
    <t>Ohio</t>
  </si>
  <si>
    <t>M1H4ØL22</t>
  </si>
  <si>
    <t>M2H45L25</t>
  </si>
  <si>
    <t>M3H55L33</t>
  </si>
  <si>
    <t>M4H66L42</t>
  </si>
  <si>
    <t>M5H75L52</t>
  </si>
  <si>
    <t>M6H83L61</t>
  </si>
  <si>
    <t>M7H87L65</t>
  </si>
  <si>
    <t>M8H86L63</t>
  </si>
  <si>
    <t>M9H79L55</t>
  </si>
  <si>
    <t>M1ØH68L43</t>
  </si>
  <si>
    <t>M11H56L34</t>
  </si>
  <si>
    <t>M12H43L26</t>
  </si>
  <si>
    <t>M1H34L22</t>
  </si>
  <si>
    <t>M2H38L24</t>
  </si>
  <si>
    <t>M3H47L3Ø</t>
  </si>
  <si>
    <t>M4H59L4Ø</t>
  </si>
  <si>
    <t>M5H7ØL5Ø</t>
  </si>
  <si>
    <t>M6H79L6Ø</t>
  </si>
  <si>
    <t>M7H83L64</t>
  </si>
  <si>
    <t>M8H81L63</t>
  </si>
  <si>
    <t>M9H74L56</t>
  </si>
  <si>
    <t>M1ØH62L45</t>
  </si>
  <si>
    <t>M11H51L37</t>
  </si>
  <si>
    <t>M12H38L26</t>
  </si>
  <si>
    <t>M1H37L23</t>
  </si>
  <si>
    <t>M2H41L25</t>
  </si>
  <si>
    <t>M3H51L33</t>
  </si>
  <si>
    <t>M4H64L43</t>
  </si>
  <si>
    <t>M5H73L52</t>
  </si>
  <si>
    <t>M6H82L62</t>
  </si>
  <si>
    <t>M7H85L66</t>
  </si>
  <si>
    <t>M8H84L64</t>
  </si>
  <si>
    <t>M9H77L57</t>
  </si>
  <si>
    <t>M1ØH65L45</t>
  </si>
  <si>
    <t>M11H53L36</t>
  </si>
  <si>
    <t>M12H4ØL27</t>
  </si>
  <si>
    <t>M1H57L37</t>
  </si>
  <si>
    <t>M2H61L41</t>
  </si>
  <si>
    <t>M3H69L49</t>
  </si>
  <si>
    <t>M4H77L56</t>
  </si>
  <si>
    <t>M5H84L65</t>
  </si>
  <si>
    <t>M6H92L73</t>
  </si>
  <si>
    <t>M7H96L77</t>
  </si>
  <si>
    <t>M8H96L77</t>
  </si>
  <si>
    <t>M9H89L69</t>
  </si>
  <si>
    <t>M1ØH79L58</t>
  </si>
  <si>
    <t>M11H67L48</t>
  </si>
  <si>
    <t>M12H58L39</t>
  </si>
  <si>
    <t>Colorado</t>
  </si>
  <si>
    <t>M1H45L17</t>
  </si>
  <si>
    <t>M2H46L2Ø</t>
  </si>
  <si>
    <t>M3H54L26</t>
  </si>
  <si>
    <t>M4H61L34</t>
  </si>
  <si>
    <t>M5H71L44</t>
  </si>
  <si>
    <t>M6H81L53</t>
  </si>
  <si>
    <t>M7H88L59</t>
  </si>
  <si>
    <t>M8H86L57</t>
  </si>
  <si>
    <t>M9H77L48</t>
  </si>
  <si>
    <t>M1ØH65L36</t>
  </si>
  <si>
    <t>M11H52L25</t>
  </si>
  <si>
    <t>M12H43L17</t>
  </si>
  <si>
    <t>Michigan</t>
  </si>
  <si>
    <t>M1H32L19</t>
  </si>
  <si>
    <t>M2H35L21</t>
  </si>
  <si>
    <t>M3H46L29</t>
  </si>
  <si>
    <t>M5H7ØL49</t>
  </si>
  <si>
    <t>M9H74L55</t>
  </si>
  <si>
    <t>M11H49L34</t>
  </si>
  <si>
    <t>Connecticut</t>
  </si>
  <si>
    <t>M1H35L18</t>
  </si>
  <si>
    <t>M2H39L21</t>
  </si>
  <si>
    <t>M3H48L28</t>
  </si>
  <si>
    <t>M4H61L38</t>
  </si>
  <si>
    <t>M5H71L48</t>
  </si>
  <si>
    <t>M6H8ØL57</t>
  </si>
  <si>
    <t>M7H85L63</t>
  </si>
  <si>
    <t>M8H83L61</t>
  </si>
  <si>
    <t>M9H75L53</t>
  </si>
  <si>
    <t>M1ØH63L41</t>
  </si>
  <si>
    <t>M11H52L33</t>
  </si>
  <si>
    <t>M12H4ØL23</t>
  </si>
  <si>
    <t>M1H63L43</t>
  </si>
  <si>
    <t>M2H66L47</t>
  </si>
  <si>
    <t>M3H73L53</t>
  </si>
  <si>
    <t>M5H86L68</t>
  </si>
  <si>
    <t>M6H91L73</t>
  </si>
  <si>
    <t>M7H94L75</t>
  </si>
  <si>
    <t>M8H95L75</t>
  </si>
  <si>
    <t>M9H9ØL7Ø</t>
  </si>
  <si>
    <t>M11H73L52</t>
  </si>
  <si>
    <t>M12H64L45</t>
  </si>
  <si>
    <t>Indiana</t>
  </si>
  <si>
    <t>M1H36L21</t>
  </si>
  <si>
    <t>M2H4ØL24</t>
  </si>
  <si>
    <t>M3H52L33</t>
  </si>
  <si>
    <t>M4H63L43</t>
  </si>
  <si>
    <t>M5H73L53</t>
  </si>
  <si>
    <t>M9H78L56</t>
  </si>
  <si>
    <t>M11H52L35</t>
  </si>
  <si>
    <t>M12H39L24</t>
  </si>
  <si>
    <t>Florida</t>
  </si>
  <si>
    <t>M1H65L41</t>
  </si>
  <si>
    <t>M2H68L45</t>
  </si>
  <si>
    <t>M3H74L5Ø</t>
  </si>
  <si>
    <t>M4H79L55</t>
  </si>
  <si>
    <t>M5H86L63</t>
  </si>
  <si>
    <t>M6H9ØL7Ø</t>
  </si>
  <si>
    <t>M7H92L73</t>
  </si>
  <si>
    <t>M8H91L73</t>
  </si>
  <si>
    <t>M9H87L7Ø</t>
  </si>
  <si>
    <t>M1ØH8ØL61</t>
  </si>
  <si>
    <t>M11H74L51</t>
  </si>
  <si>
    <t>M12H67L44</t>
  </si>
  <si>
    <t>Missouri</t>
  </si>
  <si>
    <t>M2H45L26</t>
  </si>
  <si>
    <t>M3H56L36</t>
  </si>
  <si>
    <t>M4H67L47</t>
  </si>
  <si>
    <t>M5H76L57</t>
  </si>
  <si>
    <t>M6H85L67</t>
  </si>
  <si>
    <t>M7H9ØL72</t>
  </si>
  <si>
    <t>M8H89L7Ø</t>
  </si>
  <si>
    <t>M9H8ØL61</t>
  </si>
  <si>
    <t>M1ØH68L49</t>
  </si>
  <si>
    <t>M11H54L37</t>
  </si>
  <si>
    <t>M12H42L26</t>
  </si>
  <si>
    <t>Nevada</t>
  </si>
  <si>
    <t>M1H58L39</t>
  </si>
  <si>
    <t>M2H63L43</t>
  </si>
  <si>
    <t>M3H7ØL49</t>
  </si>
  <si>
    <t>M4H78L56</t>
  </si>
  <si>
    <t>M5H89L66</t>
  </si>
  <si>
    <t>M6H99L75</t>
  </si>
  <si>
    <t>M7H1Ø4L81</t>
  </si>
  <si>
    <t>M8H1Ø2L79</t>
  </si>
  <si>
    <t>M9H94L71</t>
  </si>
  <si>
    <t>M1ØH81L59</t>
  </si>
  <si>
    <t>M11H66L47</t>
  </si>
  <si>
    <t>M12H57L39</t>
  </si>
  <si>
    <t>California</t>
  </si>
  <si>
    <t>M1H68L48</t>
  </si>
  <si>
    <t>M2H69L49</t>
  </si>
  <si>
    <t>M3H7ØL51</t>
  </si>
  <si>
    <t>M4H73L54</t>
  </si>
  <si>
    <t>M5H75L57</t>
  </si>
  <si>
    <t>M6H78L6Ø</t>
  </si>
  <si>
    <t>M9H83L63</t>
  </si>
  <si>
    <t>M1ØH79L59</t>
  </si>
  <si>
    <t>M12H68L48</t>
  </si>
  <si>
    <t>Kentucky</t>
  </si>
  <si>
    <t>M1H43L27</t>
  </si>
  <si>
    <t>M2H48L3Ø</t>
  </si>
  <si>
    <t>M3H58L38</t>
  </si>
  <si>
    <t>M4H69L47</t>
  </si>
  <si>
    <t>M5H77L57</t>
  </si>
  <si>
    <t>M6H85L66</t>
  </si>
  <si>
    <t>M7H89L7Ø</t>
  </si>
  <si>
    <t>M8H88L69</t>
  </si>
  <si>
    <t>M9H82L61</t>
  </si>
  <si>
    <t>M1ØH7ØL49</t>
  </si>
  <si>
    <t>M11H58L4Ø</t>
  </si>
  <si>
    <t>M12H46L3Ø</t>
  </si>
  <si>
    <t>Tennessee</t>
  </si>
  <si>
    <t>M1H5ØL33</t>
  </si>
  <si>
    <t>M2H55L36</t>
  </si>
  <si>
    <t>M3H64L44</t>
  </si>
  <si>
    <t>M4H73L53</t>
  </si>
  <si>
    <t>M5H81L62</t>
  </si>
  <si>
    <t>M6H89L7Ø</t>
  </si>
  <si>
    <t>M7H92L74</t>
  </si>
  <si>
    <t>M9H85L65</t>
  </si>
  <si>
    <t>M1ØH74L54</t>
  </si>
  <si>
    <t>M11H63L44</t>
  </si>
  <si>
    <t>M12H52L35</t>
  </si>
  <si>
    <t>M1H76L6Ø</t>
  </si>
  <si>
    <t>M2H78L62</t>
  </si>
  <si>
    <t>M3H8ØL65</t>
  </si>
  <si>
    <t>M4H83L68</t>
  </si>
  <si>
    <t>M5H87L73</t>
  </si>
  <si>
    <t>M6H9ØL76</t>
  </si>
  <si>
    <t>M7H91L77</t>
  </si>
  <si>
    <t>M8H91L77</t>
  </si>
  <si>
    <t>M9H89L77</t>
  </si>
  <si>
    <t>M1ØH86L74</t>
  </si>
  <si>
    <t>M11H82L68</t>
  </si>
  <si>
    <t>M12H78L63</t>
  </si>
  <si>
    <t>Wisconsin</t>
  </si>
  <si>
    <t>M1H29L16</t>
  </si>
  <si>
    <t>M3H42L28</t>
  </si>
  <si>
    <t>M4H54L37</t>
  </si>
  <si>
    <t>M5H65L47</t>
  </si>
  <si>
    <t>M7H8ØL64</t>
  </si>
  <si>
    <t>M8H79L63</t>
  </si>
  <si>
    <t>M9H71L55</t>
  </si>
  <si>
    <t>M11H46L32</t>
  </si>
  <si>
    <t>M12H33L2Ø</t>
  </si>
  <si>
    <t>Minnesota</t>
  </si>
  <si>
    <t>M1H24L8</t>
  </si>
  <si>
    <t>M2H29L13</t>
  </si>
  <si>
    <t>M3H41L24</t>
  </si>
  <si>
    <t>M4H58L37</t>
  </si>
  <si>
    <t>M5H69L49</t>
  </si>
  <si>
    <t>M6H79L59</t>
  </si>
  <si>
    <t>M8H81L62</t>
  </si>
  <si>
    <t>M9H72L52</t>
  </si>
  <si>
    <t>M1ØH58L4Ø</t>
  </si>
  <si>
    <t>M11H41L26</t>
  </si>
  <si>
    <t>M12H27L12</t>
  </si>
  <si>
    <t>M1H47L28</t>
  </si>
  <si>
    <t>M2H52L32</t>
  </si>
  <si>
    <t>M3H61L39</t>
  </si>
  <si>
    <t>M4H71L48</t>
  </si>
  <si>
    <t>M5H78L57</t>
  </si>
  <si>
    <t>M8H89L68</t>
  </si>
  <si>
    <t>M11H6ØL39</t>
  </si>
  <si>
    <t>M12H5ØL31</t>
  </si>
  <si>
    <t>Louisiana</t>
  </si>
  <si>
    <t>M1H62L45</t>
  </si>
  <si>
    <t>M2H65L48</t>
  </si>
  <si>
    <t>M3H72L54</t>
  </si>
  <si>
    <t>M4H78L6Ø</t>
  </si>
  <si>
    <t>M5H85L68</t>
  </si>
  <si>
    <t>M6H9ØL74</t>
  </si>
  <si>
    <t>M7H91L75</t>
  </si>
  <si>
    <t>M8H91L75</t>
  </si>
  <si>
    <t>M9H88L72</t>
  </si>
  <si>
    <t>M1ØH8ØL63</t>
  </si>
  <si>
    <t>M11H72L54</t>
  </si>
  <si>
    <t>M12H64L47</t>
  </si>
  <si>
    <t>M1H38L27</t>
  </si>
  <si>
    <t>M2H42L29</t>
  </si>
  <si>
    <t>M3H5ØL35</t>
  </si>
  <si>
    <t>M4H61L45</t>
  </si>
  <si>
    <t>M5H71L54</t>
  </si>
  <si>
    <t>M6H79L64</t>
  </si>
  <si>
    <t>M7H84L69</t>
  </si>
  <si>
    <t>M8H83L68</t>
  </si>
  <si>
    <t>M9H75L61</t>
  </si>
  <si>
    <t>M1ØH64L5Ø</t>
  </si>
  <si>
    <t>M11H54L42</t>
  </si>
  <si>
    <t>M12H43L32</t>
  </si>
  <si>
    <t>Oklahoma</t>
  </si>
  <si>
    <t>M1H5ØL29</t>
  </si>
  <si>
    <t>M3H63L41</t>
  </si>
  <si>
    <t>M4H72L5Ø</t>
  </si>
  <si>
    <t>M7H94L72</t>
  </si>
  <si>
    <t>M8H93L71</t>
  </si>
  <si>
    <t>M9H85L63</t>
  </si>
  <si>
    <t>M1ØH73L52</t>
  </si>
  <si>
    <t>M11H62L4Ø</t>
  </si>
  <si>
    <t>M12H51L31</t>
  </si>
  <si>
    <t>M1H71L49</t>
  </si>
  <si>
    <t>M2H74L52</t>
  </si>
  <si>
    <t>M3H78L56</t>
  </si>
  <si>
    <t>M4H83L6Ø</t>
  </si>
  <si>
    <t>M5H88L66</t>
  </si>
  <si>
    <t>M6H91L72</t>
  </si>
  <si>
    <t>M8H92L74</t>
  </si>
  <si>
    <t>M9H9ØL73</t>
  </si>
  <si>
    <t>M1ØH85L66</t>
  </si>
  <si>
    <t>M11H78L59</t>
  </si>
  <si>
    <t>M12H73L52</t>
  </si>
  <si>
    <t>Pennsylvania</t>
  </si>
  <si>
    <t>M1H4ØL26</t>
  </si>
  <si>
    <t>M2H44L28</t>
  </si>
  <si>
    <t>M3H53L34</t>
  </si>
  <si>
    <t>M4H64L44</t>
  </si>
  <si>
    <t>M5H74L54</t>
  </si>
  <si>
    <t>M6H83L64</t>
  </si>
  <si>
    <t>M7H87L69</t>
  </si>
  <si>
    <t>M8H85L68</t>
  </si>
  <si>
    <t>M9H78L6Ø</t>
  </si>
  <si>
    <t>M1ØH67L48</t>
  </si>
  <si>
    <t>M11H56L39</t>
  </si>
  <si>
    <t>M12H45L3Ø</t>
  </si>
  <si>
    <t>Arizona</t>
  </si>
  <si>
    <t>M1H69L46</t>
  </si>
  <si>
    <t>M2H72L49</t>
  </si>
  <si>
    <t>M3H78L54</t>
  </si>
  <si>
    <t>M4H86L6Ø</t>
  </si>
  <si>
    <t>M5H95L69</t>
  </si>
  <si>
    <t>M6H1Ø4L77</t>
  </si>
  <si>
    <t>M7H1Ø6L83</t>
  </si>
  <si>
    <t>M8H1Ø4L82</t>
  </si>
  <si>
    <t>M9H1ØØL75</t>
  </si>
  <si>
    <t>M1ØH89L64</t>
  </si>
  <si>
    <t>M11H76L52</t>
  </si>
  <si>
    <t>M12H67L45</t>
  </si>
  <si>
    <t>M2H39L23</t>
  </si>
  <si>
    <t>M3H49L3Ø</t>
  </si>
  <si>
    <t>M4H62L4Ø</t>
  </si>
  <si>
    <t>M5H71L49</t>
  </si>
  <si>
    <t>M6H79L58</t>
  </si>
  <si>
    <t>M7H83L63</t>
  </si>
  <si>
    <t>M9H74L54</t>
  </si>
  <si>
    <t>M1ØH63L43</t>
  </si>
  <si>
    <t>M11H51L35</t>
  </si>
  <si>
    <t>M12H39L25</t>
  </si>
  <si>
    <t>Oregon</t>
  </si>
  <si>
    <t>M1H47L36</t>
  </si>
  <si>
    <t>M2H51L37</t>
  </si>
  <si>
    <t>M3H57L39</t>
  </si>
  <si>
    <t>M4H62L43</t>
  </si>
  <si>
    <t>M5H69L48</t>
  </si>
  <si>
    <t>M6H7 3L52</t>
  </si>
  <si>
    <t>M7H81L56</t>
  </si>
  <si>
    <t>M8H81L57</t>
  </si>
  <si>
    <t>M9H75L52</t>
  </si>
  <si>
    <t>M1ØH64L46</t>
  </si>
  <si>
    <t>M11H 5 2L41</t>
  </si>
  <si>
    <t>M12H45L35</t>
  </si>
  <si>
    <t>Rhode Island</t>
  </si>
  <si>
    <t>M1H37L21</t>
  </si>
  <si>
    <t>M3H48L3Ø</t>
  </si>
  <si>
    <t>M5H68L49</t>
  </si>
  <si>
    <t>M6H78L58</t>
  </si>
  <si>
    <t>M1ØH63L44</t>
  </si>
  <si>
    <t>M2H55L32</t>
  </si>
  <si>
    <t>M4H72L48</t>
  </si>
  <si>
    <t>M5H8ØL57</t>
  </si>
  <si>
    <t>M6H87L66</t>
  </si>
  <si>
    <t>M7H9ØL69</t>
  </si>
  <si>
    <t>M1ØH73L5Ø</t>
  </si>
  <si>
    <t>M11H63L41</t>
  </si>
  <si>
    <t>M12H54L33</t>
  </si>
  <si>
    <t>Virginia</t>
  </si>
  <si>
    <t>M2H51L31</t>
  </si>
  <si>
    <t>M3H6ØL37</t>
  </si>
  <si>
    <t>M4H7ØL46</t>
  </si>
  <si>
    <t>M5H78L55</t>
  </si>
  <si>
    <t>M1ØH71L48</t>
  </si>
  <si>
    <t>M11H61L39</t>
  </si>
  <si>
    <t>M1H69L43</t>
  </si>
  <si>
    <t>M2H7ØL45</t>
  </si>
  <si>
    <t>M3H73L46</t>
  </si>
  <si>
    <t>M4H78L5Ø</t>
  </si>
  <si>
    <t>M5H83L55</t>
  </si>
  <si>
    <t>M6H89L59</t>
  </si>
  <si>
    <t>M7H95L64</t>
  </si>
  <si>
    <t>M8H96L65</t>
  </si>
  <si>
    <t>M9H92L61</t>
  </si>
  <si>
    <t>M1ØH83L55</t>
  </si>
  <si>
    <t>M11H75L47</t>
  </si>
  <si>
    <t>M12H69L42</t>
  </si>
  <si>
    <t>M1H32L18</t>
  </si>
  <si>
    <t>M2H34L19</t>
  </si>
  <si>
    <t>M3H43L26</t>
  </si>
  <si>
    <t>M4H56L37</t>
  </si>
  <si>
    <t>M5H68L46</t>
  </si>
  <si>
    <t>M6H77L56</t>
  </si>
  <si>
    <t>M7H81L61</t>
  </si>
  <si>
    <t>M8H79L6Ø</t>
  </si>
  <si>
    <t>M1ØH6ØL42</t>
  </si>
  <si>
    <t>M11H48L33</t>
  </si>
  <si>
    <t>M12H37L24</t>
  </si>
  <si>
    <t>M1H54L39</t>
  </si>
  <si>
    <t>M2H6ØL41</t>
  </si>
  <si>
    <t>M4H71L46</t>
  </si>
  <si>
    <t>M5H8ØL51</t>
  </si>
  <si>
    <t>M6H87L56</t>
  </si>
  <si>
    <t>M7H92L58</t>
  </si>
  <si>
    <t>M8H91L58</t>
  </si>
  <si>
    <t>M9H87L56</t>
  </si>
  <si>
    <t>M1ØH78L5Ø</t>
  </si>
  <si>
    <t>M11H64L43</t>
  </si>
  <si>
    <t>M12H54L38</t>
  </si>
  <si>
    <t>Utah</t>
  </si>
  <si>
    <t>M1H37L22</t>
  </si>
  <si>
    <t>M2H43L25</t>
  </si>
  <si>
    <t>M5H72L48</t>
  </si>
  <si>
    <t>M6H83L56</t>
  </si>
  <si>
    <t>M7H93L65</t>
  </si>
  <si>
    <t>M8H91L63</t>
  </si>
  <si>
    <t>M9H79L53</t>
  </si>
  <si>
    <t>M1ØH65L41</t>
  </si>
  <si>
    <t>M11H49L31</t>
  </si>
  <si>
    <t>M12H38L23</t>
  </si>
  <si>
    <t>M1H63L41</t>
  </si>
  <si>
    <t>M2H67L44</t>
  </si>
  <si>
    <t>M3H74L51</t>
  </si>
  <si>
    <t>M4H81L58</t>
  </si>
  <si>
    <t>M7H95L75</t>
  </si>
  <si>
    <t>M8H96L75</t>
  </si>
  <si>
    <t>M9H9ØL69</t>
  </si>
  <si>
    <t>M1ØH82L6Ø</t>
  </si>
  <si>
    <t>M11H72L5Ø</t>
  </si>
  <si>
    <t>M12H64L42</t>
  </si>
  <si>
    <t>M1H65L49</t>
  </si>
  <si>
    <t>M2H65L51</t>
  </si>
  <si>
    <t>M3H66L53</t>
  </si>
  <si>
    <t>M4H68L56</t>
  </si>
  <si>
    <t>M5H69L59</t>
  </si>
  <si>
    <t>M6H71L62</t>
  </si>
  <si>
    <t>M7H75L65</t>
  </si>
  <si>
    <t>M8H76L67</t>
  </si>
  <si>
    <t>M9H76L65</t>
  </si>
  <si>
    <t>M1ØH73L61</t>
  </si>
  <si>
    <t>M11H69L54</t>
  </si>
  <si>
    <t>M12H65L48</t>
  </si>
  <si>
    <t>M1H57L46</t>
  </si>
  <si>
    <t>M2H6ØL48</t>
  </si>
  <si>
    <t>M3H62L49</t>
  </si>
  <si>
    <t>M4H63L49</t>
  </si>
  <si>
    <t>M5H64L51</t>
  </si>
  <si>
    <t>M6H66L53</t>
  </si>
  <si>
    <t>M7H67L54</t>
  </si>
  <si>
    <t>M8H68L55</t>
  </si>
  <si>
    <t>M9H7ØL55</t>
  </si>
  <si>
    <t>M1ØH69L54</t>
  </si>
  <si>
    <t>M11H63L5Ø</t>
  </si>
  <si>
    <t>M12H57L46</t>
  </si>
  <si>
    <t>M1H58L42</t>
  </si>
  <si>
    <t>M2H62L45</t>
  </si>
  <si>
    <t>M3H66L47</t>
  </si>
  <si>
    <t>M4H69L49</t>
  </si>
  <si>
    <t>M6H79L56</t>
  </si>
  <si>
    <t>M7H82L58</t>
  </si>
  <si>
    <t>M8H82L58</t>
  </si>
  <si>
    <t>M9H8ØL57</t>
  </si>
  <si>
    <t>M1ØH74L53</t>
  </si>
  <si>
    <t>M11H64L46</t>
  </si>
  <si>
    <t>M12H58L42</t>
  </si>
  <si>
    <t>Washington</t>
  </si>
  <si>
    <t>M1H49L37</t>
  </si>
  <si>
    <t>M3H55L4Ø</t>
  </si>
  <si>
    <t>M4H6ØL43</t>
  </si>
  <si>
    <t>M5H66L49</t>
  </si>
  <si>
    <t>M6H71L53</t>
  </si>
  <si>
    <t>M7H76L57</t>
  </si>
  <si>
    <t>M8H76L57</t>
  </si>
  <si>
    <t>M11H52L41</t>
  </si>
  <si>
    <t>M12H47L36</t>
  </si>
  <si>
    <t>M1H4ØL24</t>
  </si>
  <si>
    <t>M2H45L28</t>
  </si>
  <si>
    <t>M3H56L37</t>
  </si>
  <si>
    <t>M1ØH69L49</t>
  </si>
  <si>
    <t>M11H56L38</t>
  </si>
  <si>
    <t>M12H43L27</t>
  </si>
  <si>
    <t>M1H7ØL52</t>
  </si>
  <si>
    <t>M2H73L54</t>
  </si>
  <si>
    <t>M3H76L58</t>
  </si>
  <si>
    <t>M4H81L63</t>
  </si>
  <si>
    <t>M5H87L7Ø</t>
  </si>
  <si>
    <t>M6H9ØL75</t>
  </si>
  <si>
    <t>M7H9ØL76</t>
  </si>
  <si>
    <t>M8H9ØL76</t>
  </si>
  <si>
    <t>M9H89L75</t>
  </si>
  <si>
    <t>M1ØH84L68</t>
  </si>
  <si>
    <t>M11H78L6Ø</t>
  </si>
  <si>
    <t>M12H72L54</t>
  </si>
  <si>
    <t>M1H48L33</t>
  </si>
  <si>
    <t>M2H51L34</t>
  </si>
  <si>
    <t>M3H58L41</t>
  </si>
  <si>
    <t>M4H68L49</t>
  </si>
  <si>
    <t>M5H75L58</t>
  </si>
  <si>
    <t>M6H84L67</t>
  </si>
  <si>
    <t>M7H87L72</t>
  </si>
  <si>
    <t>M8H85L71</t>
  </si>
  <si>
    <t>M9H79L65</t>
  </si>
  <si>
    <t>M1ØH7ØL54</t>
  </si>
  <si>
    <t>M11H61L45</t>
  </si>
  <si>
    <t>M12H52L36</t>
  </si>
  <si>
    <t>Summary Table of High Temperatures - by Month</t>
  </si>
  <si>
    <t>City</t>
  </si>
  <si>
    <t>State</t>
  </si>
  <si>
    <t>Highest Temperatures</t>
  </si>
  <si>
    <t>Check Sum</t>
  </si>
  <si>
    <t>Summary Table of Low Temperatures - by Month</t>
  </si>
  <si>
    <t>Lowest Tempeatures</t>
  </si>
  <si>
    <t>Workings</t>
  </si>
  <si>
    <t>Sorted Table of High Temperatures</t>
  </si>
  <si>
    <t>month</t>
  </si>
  <si>
    <t>For the Month of:</t>
  </si>
  <si>
    <t>city</t>
  </si>
  <si>
    <t>high temp</t>
  </si>
  <si>
    <t>adjustment</t>
  </si>
  <si>
    <t>rank</t>
  </si>
  <si>
    <t>sort order</t>
  </si>
  <si>
    <t>Position</t>
  </si>
  <si>
    <t>High Temperature</t>
  </si>
  <si>
    <t>Part 2 - Introduction</t>
  </si>
  <si>
    <t>Your task is to calculate the future account balance of a savings account opened today with certain provided terms.</t>
  </si>
  <si>
    <t>Terms will be provided for Interest Rate, Number of Years and Additional Payments.  There will also be an Initial Depsoit Amount.</t>
  </si>
  <si>
    <t>You will need to use these terms to look up the Initial Deposit Amount, and then calculate the future account balance.</t>
  </si>
  <si>
    <t>Interest Rate</t>
  </si>
  <si>
    <t>The account earns interest at one of the 6 following annual rates:</t>
  </si>
  <si>
    <t>Interest is paid into the account at the end of every 12 month period.</t>
  </si>
  <si>
    <t>Number of Years</t>
  </si>
  <si>
    <t>The account will be active for one of the following number of years, starting today:</t>
  </si>
  <si>
    <t>Additional Payments</t>
  </si>
  <si>
    <t>At the end of every 12 month period (beginning one year after today), an additional payment is deposited into the account.</t>
  </si>
  <si>
    <t>The additional payment will be one of the 4 following amounts:</t>
  </si>
  <si>
    <t>Initial Deposit</t>
  </si>
  <si>
    <t>When the account is opened today, an initial deposit is made into the account.</t>
  </si>
  <si>
    <t>The size of the deposit must be looked up from a table depending upon the chosen values for Interest Rate, Number of Years and Additional Payments.</t>
  </si>
  <si>
    <t>There is a table provided for each interest rate value (see worksheet "Rate_550" for the 5.50% rate for example).</t>
  </si>
  <si>
    <t>Each table has 20 initial deposit amounts, one for each combination of Years and Additional Payments.</t>
  </si>
  <si>
    <t>The amounts are located in cells C3:G6 of each table, with the rate in cell A1, the number of years in cells B2:G2 and the Additional Payment at cells B3:B6.</t>
  </si>
  <si>
    <t>Assumptions and Calculations</t>
  </si>
  <si>
    <t>Your task is to populate the green cells in the 'Initial Deposit' column and 'Final Account Balance' column for each of the 30 Account Numbers.</t>
  </si>
  <si>
    <t>Do your workings in the grey 'helper cells' box in columns I to X, so that the green cells contain only your final answers.  Then answer the assignment questions.</t>
  </si>
  <si>
    <t>HINTS:</t>
  </si>
  <si>
    <t>1) Try and write flexible formulas that can be copied down the entire column of 30 accounts.  This will be the quickest way.</t>
  </si>
  <si>
    <t>2) You may wish to use the INDIRECT function to find the Initial Deposit.  Note that the Interest Rate * 10000 will give the number (500 to 750) that appears in the worksheet tab name.</t>
  </si>
  <si>
    <t>3) You may wish to use the FV function to find the Final Account Balance.  Make sure the Final Account Balance is a positive number.</t>
  </si>
  <si>
    <t>Helper cells if you need them</t>
  </si>
  <si>
    <t>Account Number</t>
  </si>
  <si>
    <t>Final Account Balance</t>
  </si>
  <si>
    <t>End of Sheet</t>
  </si>
  <si>
    <t>&lt;-- Rate</t>
  </si>
  <si>
    <t>Number of Years (Across Top Row)</t>
  </si>
  <si>
    <t>Purchase Price (PV) in middle</t>
  </si>
  <si>
    <t>Pmt per Year</t>
  </si>
  <si>
    <t>(Down</t>
  </si>
  <si>
    <t>Left</t>
  </si>
  <si>
    <t>Column)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</si>
</sst>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;[Red]\-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i/>
      <sz val="1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1E1E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theme="5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12">
    <xf numFmtId="0" fontId="0" fillId="0" borderId="0" xfId="0"/>
    <xf numFmtId="0" fontId="4" fillId="0" borderId="0" xfId="0" applyFont="1"/>
    <xf numFmtId="0" fontId="3" fillId="3" borderId="0" xfId="0" applyFont="1" applyFill="1"/>
    <xf numFmtId="0" fontId="0" fillId="4" borderId="6" xfId="0" applyFill="1" applyBorder="1"/>
    <xf numFmtId="0" fontId="3" fillId="3" borderId="5" xfId="0" applyFont="1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0" fillId="4" borderId="20" xfId="0" applyFill="1" applyBorder="1"/>
    <xf numFmtId="0" fontId="0" fillId="0" borderId="19" xfId="0" applyBorder="1"/>
    <xf numFmtId="0" fontId="0" fillId="0" borderId="15" xfId="0" applyBorder="1"/>
    <xf numFmtId="0" fontId="0" fillId="0" borderId="16" xfId="0" applyBorder="1"/>
    <xf numFmtId="0" fontId="4" fillId="5" borderId="12" xfId="0" applyFont="1" applyFill="1" applyBorder="1"/>
    <xf numFmtId="0" fontId="4" fillId="5" borderId="23" xfId="0" applyFont="1" applyFill="1" applyBorder="1" applyAlignment="1">
      <alignment horizontal="right"/>
    </xf>
    <xf numFmtId="0" fontId="4" fillId="5" borderId="24" xfId="0" applyFont="1" applyFill="1" applyBorder="1" applyAlignment="1">
      <alignment horizontal="right"/>
    </xf>
    <xf numFmtId="0" fontId="4" fillId="5" borderId="25" xfId="0" applyFont="1" applyFill="1" applyBorder="1" applyAlignment="1">
      <alignment horizontal="right"/>
    </xf>
    <xf numFmtId="0" fontId="4" fillId="5" borderId="23" xfId="0" applyFont="1" applyFill="1" applyBorder="1"/>
    <xf numFmtId="0" fontId="3" fillId="6" borderId="5" xfId="0" applyFont="1" applyFill="1" applyBorder="1"/>
    <xf numFmtId="0" fontId="3" fillId="6" borderId="13" xfId="0" applyFont="1" applyFill="1" applyBorder="1"/>
    <xf numFmtId="0" fontId="3" fillId="6" borderId="14" xfId="0" applyFont="1" applyFill="1" applyBorder="1"/>
    <xf numFmtId="0" fontId="0" fillId="4" borderId="19" xfId="0" applyFill="1" applyBorder="1"/>
    <xf numFmtId="0" fontId="5" fillId="7" borderId="27" xfId="0" applyFont="1" applyFill="1" applyBorder="1" applyAlignment="1">
      <alignment horizontal="center"/>
    </xf>
    <xf numFmtId="0" fontId="0" fillId="4" borderId="18" xfId="0" applyFill="1" applyBorder="1"/>
    <xf numFmtId="0" fontId="3" fillId="8" borderId="5" xfId="0" applyFont="1" applyFill="1" applyBorder="1"/>
    <xf numFmtId="0" fontId="3" fillId="8" borderId="14" xfId="0" applyFont="1" applyFill="1" applyBorder="1"/>
    <xf numFmtId="0" fontId="3" fillId="8" borderId="9" xfId="0" applyFont="1" applyFill="1" applyBorder="1"/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3" fillId="9" borderId="11" xfId="0" applyFont="1" applyFill="1" applyBorder="1"/>
    <xf numFmtId="0" fontId="2" fillId="2" borderId="33" xfId="2" applyBorder="1"/>
    <xf numFmtId="0" fontId="0" fillId="11" borderId="11" xfId="0" applyFill="1" applyBorder="1"/>
    <xf numFmtId="0" fontId="0" fillId="11" borderId="32" xfId="0" applyFill="1" applyBorder="1"/>
    <xf numFmtId="0" fontId="0" fillId="11" borderId="12" xfId="0" applyFill="1" applyBorder="1"/>
    <xf numFmtId="0" fontId="0" fillId="11" borderId="13" xfId="0" applyFill="1" applyBorder="1"/>
    <xf numFmtId="0" fontId="6" fillId="11" borderId="11" xfId="0" applyFont="1" applyFill="1" applyBorder="1"/>
    <xf numFmtId="0" fontId="2" fillId="2" borderId="34" xfId="2" applyBorder="1"/>
    <xf numFmtId="0" fontId="3" fillId="10" borderId="0" xfId="0" applyFont="1" applyFill="1" applyAlignment="1">
      <alignment horizontal="center" vertical="center" wrapText="1"/>
    </xf>
    <xf numFmtId="0" fontId="0" fillId="12" borderId="0" xfId="0" applyFill="1" applyAlignment="1">
      <alignment horizontal="left" indent="3"/>
    </xf>
    <xf numFmtId="0" fontId="0" fillId="12" borderId="0" xfId="0" applyFill="1"/>
    <xf numFmtId="0" fontId="0" fillId="12" borderId="37" xfId="0" applyFill="1" applyBorder="1"/>
    <xf numFmtId="0" fontId="10" fillId="12" borderId="0" xfId="0" applyFont="1" applyFill="1" applyBorder="1" applyAlignment="1">
      <alignment horizontal="left" indent="3"/>
    </xf>
    <xf numFmtId="0" fontId="10" fillId="12" borderId="0" xfId="0" applyFont="1" applyFill="1" applyBorder="1"/>
    <xf numFmtId="0" fontId="11" fillId="12" borderId="41" xfId="0" applyFont="1" applyFill="1" applyBorder="1" applyAlignment="1">
      <alignment horizontal="left" indent="3"/>
    </xf>
    <xf numFmtId="0" fontId="11" fillId="12" borderId="41" xfId="0" applyFont="1" applyFill="1" applyBorder="1"/>
    <xf numFmtId="0" fontId="0" fillId="12" borderId="0" xfId="0" applyFill="1" applyAlignment="1">
      <alignment vertical="top" wrapText="1"/>
    </xf>
    <xf numFmtId="0" fontId="12" fillId="12" borderId="0" xfId="0" applyFont="1" applyFill="1"/>
    <xf numFmtId="165" fontId="0" fillId="0" borderId="0" xfId="0" applyNumberFormat="1"/>
    <xf numFmtId="9" fontId="13" fillId="0" borderId="0" xfId="0" applyNumberFormat="1" applyFont="1" applyFill="1" applyBorder="1" applyAlignment="1">
      <alignment horizontal="right"/>
    </xf>
    <xf numFmtId="164" fontId="0" fillId="0" borderId="2" xfId="0" applyNumberFormat="1" applyFill="1" applyBorder="1" applyAlignment="1">
      <alignment horizontal="center"/>
    </xf>
    <xf numFmtId="164" fontId="0" fillId="0" borderId="21" xfId="0" applyNumberFormat="1" applyFill="1" applyBorder="1" applyAlignment="1">
      <alignment horizontal="center"/>
    </xf>
    <xf numFmtId="9" fontId="3" fillId="8" borderId="5" xfId="0" applyNumberFormat="1" applyFont="1" applyFill="1" applyBorder="1" applyAlignment="1"/>
    <xf numFmtId="9" fontId="3" fillId="8" borderId="13" xfId="0" applyNumberFormat="1" applyFont="1" applyFill="1" applyBorder="1" applyAlignment="1">
      <alignment horizontal="center"/>
    </xf>
    <xf numFmtId="9" fontId="3" fillId="8" borderId="14" xfId="0" applyNumberFormat="1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8" borderId="27" xfId="0" applyFont="1" applyFill="1" applyBorder="1" applyAlignment="1">
      <alignment horizontal="center"/>
    </xf>
    <xf numFmtId="164" fontId="0" fillId="0" borderId="35" xfId="0" applyNumberForma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9" fontId="3" fillId="13" borderId="5" xfId="0" applyNumberFormat="1" applyFont="1" applyFill="1" applyBorder="1" applyAlignment="1">
      <alignment horizontal="left"/>
    </xf>
    <xf numFmtId="0" fontId="3" fillId="13" borderId="14" xfId="0" applyFont="1" applyFill="1" applyBorder="1" applyAlignment="1">
      <alignment horizontal="center"/>
    </xf>
    <xf numFmtId="9" fontId="3" fillId="13" borderId="7" xfId="0" applyNumberFormat="1" applyFont="1" applyFill="1" applyBorder="1" applyAlignment="1">
      <alignment horizontal="left"/>
    </xf>
    <xf numFmtId="0" fontId="3" fillId="13" borderId="42" xfId="0" applyFont="1" applyFill="1" applyBorder="1" applyAlignment="1">
      <alignment horizontal="center"/>
    </xf>
    <xf numFmtId="9" fontId="3" fillId="13" borderId="9" xfId="0" applyNumberFormat="1" applyFont="1" applyFill="1" applyBorder="1" applyAlignment="1">
      <alignment horizontal="left"/>
    </xf>
    <xf numFmtId="0" fontId="3" fillId="13" borderId="27" xfId="0" applyFont="1" applyFill="1" applyBorder="1" applyAlignment="1">
      <alignment horizontal="center"/>
    </xf>
    <xf numFmtId="9" fontId="6" fillId="0" borderId="13" xfId="0" applyNumberFormat="1" applyFont="1" applyFill="1" applyBorder="1" applyAlignment="1"/>
    <xf numFmtId="9" fontId="6" fillId="0" borderId="7" xfId="0" applyNumberFormat="1" applyFont="1" applyFill="1" applyBorder="1" applyAlignment="1">
      <alignment horizontal="left"/>
    </xf>
    <xf numFmtId="164" fontId="0" fillId="0" borderId="22" xfId="0" applyNumberFormat="1" applyFill="1" applyBorder="1" applyAlignment="1">
      <alignment horizontal="center"/>
    </xf>
    <xf numFmtId="164" fontId="0" fillId="0" borderId="8" xfId="0" applyNumberFormat="1" applyFill="1" applyBorder="1" applyAlignment="1">
      <alignment horizontal="center"/>
    </xf>
    <xf numFmtId="164" fontId="0" fillId="0" borderId="36" xfId="0" applyNumberFormat="1" applyFill="1" applyBorder="1" applyAlignment="1">
      <alignment horizontal="center"/>
    </xf>
    <xf numFmtId="164" fontId="0" fillId="0" borderId="17" xfId="0" applyNumberForma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10" fontId="6" fillId="7" borderId="3" xfId="0" applyNumberFormat="1" applyFont="1" applyFill="1" applyBorder="1" applyAlignment="1">
      <alignment horizontal="center"/>
    </xf>
    <xf numFmtId="164" fontId="0" fillId="0" borderId="0" xfId="0" applyNumberFormat="1"/>
    <xf numFmtId="10" fontId="14" fillId="7" borderId="2" xfId="1" applyNumberFormat="1" applyFont="1" applyFill="1" applyBorder="1" applyAlignment="1">
      <alignment horizontal="center"/>
    </xf>
    <xf numFmtId="0" fontId="15" fillId="0" borderId="0" xfId="0" applyFont="1"/>
    <xf numFmtId="0" fontId="14" fillId="7" borderId="2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/>
    </xf>
    <xf numFmtId="10" fontId="14" fillId="7" borderId="20" xfId="1" applyNumberFormat="1" applyFont="1" applyFill="1" applyBorder="1" applyAlignment="1">
      <alignment horizontal="center"/>
    </xf>
    <xf numFmtId="10" fontId="14" fillId="7" borderId="15" xfId="1" applyNumberFormat="1" applyFont="1" applyFill="1" applyBorder="1" applyAlignment="1">
      <alignment horizontal="center"/>
    </xf>
    <xf numFmtId="10" fontId="14" fillId="7" borderId="16" xfId="1" applyNumberFormat="1" applyFont="1" applyFill="1" applyBorder="1" applyAlignment="1">
      <alignment horizontal="center"/>
    </xf>
    <xf numFmtId="0" fontId="14" fillId="7" borderId="17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11" borderId="5" xfId="0" applyFill="1" applyBorder="1"/>
    <xf numFmtId="0" fontId="0" fillId="11" borderId="14" xfId="0" applyFill="1" applyBorder="1"/>
    <xf numFmtId="0" fontId="0" fillId="11" borderId="7" xfId="0" applyFill="1" applyBorder="1"/>
    <xf numFmtId="0" fontId="0" fillId="11" borderId="0" xfId="0" applyFill="1" applyBorder="1"/>
    <xf numFmtId="0" fontId="0" fillId="11" borderId="42" xfId="0" applyFill="1" applyBorder="1"/>
    <xf numFmtId="0" fontId="0" fillId="11" borderId="9" xfId="0" applyFill="1" applyBorder="1"/>
    <xf numFmtId="0" fontId="0" fillId="11" borderId="26" xfId="0" applyFill="1" applyBorder="1"/>
    <xf numFmtId="0" fontId="0" fillId="11" borderId="27" xfId="0" applyFill="1" applyBorder="1"/>
    <xf numFmtId="164" fontId="0" fillId="4" borderId="21" xfId="0" applyNumberFormat="1" applyFill="1" applyBorder="1" applyAlignment="1">
      <alignment horizontal="center"/>
    </xf>
    <xf numFmtId="164" fontId="0" fillId="4" borderId="22" xfId="0" applyNumberFormat="1" applyFill="1" applyBorder="1" applyAlignment="1">
      <alignment horizontal="center"/>
    </xf>
    <xf numFmtId="164" fontId="2" fillId="2" borderId="1" xfId="2" applyNumberFormat="1" applyAlignment="1">
      <alignment horizontal="center"/>
    </xf>
    <xf numFmtId="0" fontId="0" fillId="0" borderId="0" xfId="0" applyFont="1"/>
    <xf numFmtId="0" fontId="16" fillId="0" borderId="0" xfId="0" applyFont="1"/>
    <xf numFmtId="0" fontId="0" fillId="0" borderId="0" xfId="0" applyFill="1"/>
    <xf numFmtId="0" fontId="0" fillId="14" borderId="0" xfId="0" applyFill="1"/>
    <xf numFmtId="0" fontId="17" fillId="0" borderId="0" xfId="0" applyFont="1"/>
    <xf numFmtId="0" fontId="0" fillId="4" borderId="0" xfId="0" applyFill="1"/>
    <xf numFmtId="0" fontId="7" fillId="12" borderId="37" xfId="0" applyFont="1" applyFill="1" applyBorder="1" applyAlignment="1">
      <alignment horizontal="center"/>
    </xf>
    <xf numFmtId="0" fontId="7" fillId="12" borderId="0" xfId="0" applyFont="1" applyFill="1" applyAlignment="1">
      <alignment horizontal="center"/>
    </xf>
    <xf numFmtId="0" fontId="8" fillId="12" borderId="37" xfId="0" applyFont="1" applyFill="1" applyBorder="1" applyAlignment="1">
      <alignment horizontal="center"/>
    </xf>
    <xf numFmtId="0" fontId="8" fillId="12" borderId="0" xfId="0" applyFont="1" applyFill="1" applyAlignment="1">
      <alignment horizontal="center"/>
    </xf>
    <xf numFmtId="0" fontId="9" fillId="12" borderId="38" xfId="0" applyFont="1" applyFill="1" applyBorder="1" applyAlignment="1">
      <alignment horizontal="center"/>
    </xf>
    <xf numFmtId="0" fontId="9" fillId="12" borderId="39" xfId="0" applyFont="1" applyFill="1" applyBorder="1" applyAlignment="1">
      <alignment horizontal="center"/>
    </xf>
    <xf numFmtId="0" fontId="9" fillId="12" borderId="40" xfId="0" applyFont="1" applyFill="1" applyBorder="1" applyAlignment="1">
      <alignment horizontal="center"/>
    </xf>
    <xf numFmtId="0" fontId="0" fillId="0" borderId="0" xfId="0" applyFill="1" applyAlignment="1">
      <alignment horizontal="left" vertical="top" wrapText="1"/>
    </xf>
  </cellXfs>
  <cellStyles count="3">
    <cellStyle name="Calculation" xfId="2" builtinId="22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FFCC"/>
      <color rgb="FF0000FF"/>
      <color rgb="FFFFFFCC"/>
      <color rgb="FF000099"/>
      <color rgb="FFCCECFF"/>
      <color rgb="FFE5F5FF"/>
      <color rgb="FFFFFFFF"/>
      <color rgb="FF663300"/>
      <color rgb="FF080808"/>
      <color rgb="FFE1E1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A506FB11-F1DA-4C37-8FE6-B0D52545C2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712870" cy="16709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ate_1000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_1000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F4D5-CAFE-4F1D-92E3-0C21F606291B}">
  <sheetPr codeName="Sheet11">
    <tabColor theme="1"/>
  </sheetPr>
  <dimension ref="A1:P104"/>
  <sheetViews>
    <sheetView workbookViewId="0">
      <selection activeCell="D89" sqref="D89"/>
    </sheetView>
  </sheetViews>
  <sheetFormatPr defaultColWidth="9.28515625" defaultRowHeight="14.65"/>
  <cols>
    <col min="1" max="3" width="9.28515625" style="98"/>
    <col min="4" max="4" width="14.42578125" style="98" customWidth="1"/>
    <col min="5" max="16384" width="9.28515625" style="98"/>
  </cols>
  <sheetData>
    <row r="1" spans="1:16">
      <c r="A1" s="98" t="s">
        <v>0</v>
      </c>
      <c r="B1" s="98" t="s">
        <v>1</v>
      </c>
      <c r="D1" s="98" t="s">
        <v>2</v>
      </c>
      <c r="E1" s="98" t="s">
        <v>3</v>
      </c>
    </row>
    <row r="2" spans="1:16">
      <c r="A2" s="98">
        <v>1</v>
      </c>
      <c r="B2" s="98">
        <v>2</v>
      </c>
      <c r="D2" s="98" t="s">
        <v>4</v>
      </c>
      <c r="E2" s="98" t="s">
        <v>5</v>
      </c>
      <c r="F2" s="98" t="s">
        <v>6</v>
      </c>
      <c r="G2" s="98" t="s">
        <v>7</v>
      </c>
      <c r="H2" s="98" t="s">
        <v>8</v>
      </c>
      <c r="I2" s="98" t="s">
        <v>9</v>
      </c>
      <c r="J2" s="98" t="s">
        <v>10</v>
      </c>
      <c r="K2" s="98" t="s">
        <v>11</v>
      </c>
      <c r="L2" s="98" t="s">
        <v>12</v>
      </c>
      <c r="M2" s="98" t="s">
        <v>13</v>
      </c>
      <c r="N2" s="98" t="s">
        <v>14</v>
      </c>
      <c r="O2" s="98" t="s">
        <v>15</v>
      </c>
      <c r="P2" s="98" t="s">
        <v>16</v>
      </c>
    </row>
    <row r="3" spans="1:16">
      <c r="A3" s="98">
        <v>2</v>
      </c>
      <c r="B3" s="98">
        <v>3</v>
      </c>
      <c r="D3" s="98" t="s">
        <v>17</v>
      </c>
    </row>
    <row r="4" spans="1:16">
      <c r="A4" s="98">
        <v>3</v>
      </c>
      <c r="B4" s="98">
        <v>5</v>
      </c>
      <c r="D4" s="98" t="s">
        <v>18</v>
      </c>
    </row>
    <row r="5" spans="1:16">
      <c r="A5" s="98">
        <v>4</v>
      </c>
      <c r="B5" s="98">
        <v>7</v>
      </c>
      <c r="D5" s="98" t="s">
        <v>19</v>
      </c>
    </row>
    <row r="6" spans="1:16">
      <c r="A6" s="98">
        <v>5</v>
      </c>
      <c r="B6" s="98">
        <v>11</v>
      </c>
      <c r="D6" s="98" t="s">
        <v>20</v>
      </c>
    </row>
    <row r="7" spans="1:16">
      <c r="A7" s="98">
        <v>6</v>
      </c>
      <c r="B7" s="98">
        <v>13</v>
      </c>
      <c r="D7" s="98" t="s">
        <v>21</v>
      </c>
    </row>
    <row r="8" spans="1:16">
      <c r="A8" s="98">
        <v>7</v>
      </c>
      <c r="B8" s="98">
        <v>17</v>
      </c>
      <c r="D8" s="98" t="s">
        <v>22</v>
      </c>
    </row>
    <row r="9" spans="1:16">
      <c r="A9" s="98">
        <v>8</v>
      </c>
      <c r="B9" s="98">
        <v>19</v>
      </c>
      <c r="D9" s="98" t="s">
        <v>23</v>
      </c>
    </row>
    <row r="10" spans="1:16">
      <c r="A10" s="98">
        <v>9</v>
      </c>
      <c r="B10" s="98">
        <v>23</v>
      </c>
      <c r="D10" s="98" t="s">
        <v>24</v>
      </c>
    </row>
    <row r="11" spans="1:16">
      <c r="A11" s="98">
        <v>10</v>
      </c>
      <c r="B11" s="98">
        <v>29</v>
      </c>
      <c r="D11" s="98" t="s">
        <v>25</v>
      </c>
    </row>
    <row r="12" spans="1:16">
      <c r="A12" s="98">
        <v>11</v>
      </c>
      <c r="B12" s="98">
        <v>31</v>
      </c>
      <c r="D12" s="98" t="s">
        <v>26</v>
      </c>
    </row>
    <row r="13" spans="1:16">
      <c r="A13" s="98">
        <v>12</v>
      </c>
      <c r="B13" s="98">
        <v>37</v>
      </c>
      <c r="D13" s="98" t="s">
        <v>27</v>
      </c>
    </row>
    <row r="14" spans="1:16">
      <c r="A14" s="98">
        <v>13</v>
      </c>
      <c r="B14" s="98">
        <v>41</v>
      </c>
      <c r="D14" s="98" t="s">
        <v>28</v>
      </c>
    </row>
    <row r="15" spans="1:16">
      <c r="A15" s="98">
        <v>14</v>
      </c>
      <c r="B15" s="98">
        <v>43</v>
      </c>
      <c r="D15" s="98" t="s">
        <v>29</v>
      </c>
    </row>
    <row r="16" spans="1:16">
      <c r="A16" s="98">
        <v>15</v>
      </c>
      <c r="B16" s="98">
        <v>47</v>
      </c>
      <c r="D16" s="98" t="s">
        <v>30</v>
      </c>
    </row>
    <row r="17" spans="1:4">
      <c r="A17" s="98">
        <v>16</v>
      </c>
      <c r="B17" s="98">
        <v>53</v>
      </c>
      <c r="D17" s="98" t="s">
        <v>31</v>
      </c>
    </row>
    <row r="18" spans="1:4">
      <c r="A18" s="98">
        <v>17</v>
      </c>
      <c r="B18" s="98">
        <v>59</v>
      </c>
      <c r="D18" s="98" t="s">
        <v>32</v>
      </c>
    </row>
    <row r="19" spans="1:4">
      <c r="A19" s="98">
        <v>18</v>
      </c>
      <c r="B19" s="98">
        <v>61</v>
      </c>
      <c r="D19" s="98" t="s">
        <v>33</v>
      </c>
    </row>
    <row r="20" spans="1:4">
      <c r="A20" s="98">
        <v>19</v>
      </c>
      <c r="B20" s="98">
        <v>67</v>
      </c>
      <c r="D20" s="98" t="s">
        <v>34</v>
      </c>
    </row>
    <row r="21" spans="1:4">
      <c r="A21" s="98">
        <v>20</v>
      </c>
      <c r="B21" s="98">
        <v>71</v>
      </c>
      <c r="D21" s="98" t="s">
        <v>35</v>
      </c>
    </row>
    <row r="22" spans="1:4">
      <c r="A22" s="98">
        <v>21</v>
      </c>
      <c r="B22" s="98">
        <v>73</v>
      </c>
      <c r="D22" s="98" t="s">
        <v>36</v>
      </c>
    </row>
    <row r="23" spans="1:4">
      <c r="A23" s="98">
        <v>22</v>
      </c>
      <c r="B23" s="98">
        <v>79</v>
      </c>
      <c r="D23" s="98" t="s">
        <v>37</v>
      </c>
    </row>
    <row r="24" spans="1:4">
      <c r="A24" s="98">
        <v>23</v>
      </c>
      <c r="B24" s="98">
        <v>83</v>
      </c>
      <c r="D24" s="98" t="s">
        <v>38</v>
      </c>
    </row>
    <row r="25" spans="1:4">
      <c r="A25" s="98">
        <v>24</v>
      </c>
      <c r="B25" s="98">
        <v>89</v>
      </c>
      <c r="D25" s="98" t="s">
        <v>39</v>
      </c>
    </row>
    <row r="26" spans="1:4">
      <c r="A26" s="98">
        <v>25</v>
      </c>
      <c r="B26" s="98">
        <v>97</v>
      </c>
      <c r="D26" s="98" t="s">
        <v>40</v>
      </c>
    </row>
    <row r="27" spans="1:4">
      <c r="A27" s="98">
        <v>26</v>
      </c>
      <c r="B27" s="98">
        <v>101</v>
      </c>
      <c r="D27" s="98" t="s">
        <v>41</v>
      </c>
    </row>
    <row r="28" spans="1:4">
      <c r="A28" s="98">
        <v>27</v>
      </c>
      <c r="B28" s="98">
        <v>103</v>
      </c>
      <c r="D28" s="98" t="s">
        <v>42</v>
      </c>
    </row>
    <row r="29" spans="1:4">
      <c r="A29" s="98">
        <v>28</v>
      </c>
      <c r="B29" s="98">
        <v>107</v>
      </c>
      <c r="D29" s="98" t="s">
        <v>43</v>
      </c>
    </row>
    <row r="30" spans="1:4">
      <c r="A30" s="98">
        <v>29</v>
      </c>
      <c r="B30" s="98">
        <v>109</v>
      </c>
      <c r="D30" s="98" t="s">
        <v>44</v>
      </c>
    </row>
    <row r="31" spans="1:4">
      <c r="A31" s="98">
        <v>30</v>
      </c>
      <c r="B31" s="98">
        <v>113</v>
      </c>
      <c r="D31" s="98" t="s">
        <v>45</v>
      </c>
    </row>
    <row r="32" spans="1:4">
      <c r="A32" s="98">
        <v>31</v>
      </c>
      <c r="B32" s="98">
        <v>127</v>
      </c>
      <c r="D32" s="98" t="s">
        <v>46</v>
      </c>
    </row>
    <row r="33" spans="1:4">
      <c r="A33" s="98">
        <v>32</v>
      </c>
      <c r="B33" s="98">
        <v>131</v>
      </c>
      <c r="D33" s="98" t="s">
        <v>47</v>
      </c>
    </row>
    <row r="34" spans="1:4">
      <c r="A34" s="98">
        <v>33</v>
      </c>
      <c r="B34" s="98">
        <v>137</v>
      </c>
      <c r="D34" s="98" t="s">
        <v>48</v>
      </c>
    </row>
    <row r="35" spans="1:4">
      <c r="A35" s="98">
        <v>34</v>
      </c>
      <c r="B35" s="98">
        <v>139</v>
      </c>
      <c r="D35" s="98" t="s">
        <v>49</v>
      </c>
    </row>
    <row r="36" spans="1:4">
      <c r="A36" s="98">
        <v>35</v>
      </c>
      <c r="B36" s="98">
        <v>149</v>
      </c>
      <c r="D36" s="98" t="s">
        <v>50</v>
      </c>
    </row>
    <row r="37" spans="1:4">
      <c r="A37" s="98">
        <v>36</v>
      </c>
      <c r="B37" s="98">
        <v>151</v>
      </c>
      <c r="D37" s="98" t="s">
        <v>51</v>
      </c>
    </row>
    <row r="38" spans="1:4">
      <c r="A38" s="98">
        <v>37</v>
      </c>
      <c r="B38" s="98">
        <v>157</v>
      </c>
      <c r="D38" s="98" t="s">
        <v>52</v>
      </c>
    </row>
    <row r="39" spans="1:4">
      <c r="A39" s="98">
        <v>38</v>
      </c>
      <c r="B39" s="98">
        <v>163</v>
      </c>
      <c r="D39" s="98" t="s">
        <v>53</v>
      </c>
    </row>
    <row r="40" spans="1:4">
      <c r="A40" s="98">
        <v>39</v>
      </c>
      <c r="B40" s="98">
        <v>167</v>
      </c>
      <c r="D40" s="98" t="s">
        <v>54</v>
      </c>
    </row>
    <row r="41" spans="1:4">
      <c r="A41" s="98">
        <v>40</v>
      </c>
      <c r="B41" s="98">
        <v>173</v>
      </c>
      <c r="D41" s="98" t="s">
        <v>55</v>
      </c>
    </row>
    <row r="42" spans="1:4">
      <c r="A42" s="98">
        <v>41</v>
      </c>
      <c r="B42" s="98">
        <v>179</v>
      </c>
      <c r="D42" s="98" t="s">
        <v>56</v>
      </c>
    </row>
    <row r="43" spans="1:4">
      <c r="A43" s="98">
        <v>42</v>
      </c>
      <c r="B43" s="98">
        <v>181</v>
      </c>
      <c r="D43" s="98" t="s">
        <v>57</v>
      </c>
    </row>
    <row r="44" spans="1:4">
      <c r="A44" s="98">
        <v>43</v>
      </c>
      <c r="B44" s="98">
        <v>191</v>
      </c>
      <c r="D44" s="98" t="s">
        <v>58</v>
      </c>
    </row>
    <row r="45" spans="1:4">
      <c r="A45" s="98">
        <v>44</v>
      </c>
      <c r="B45" s="98">
        <v>193</v>
      </c>
      <c r="D45" s="98" t="s">
        <v>59</v>
      </c>
    </row>
    <row r="46" spans="1:4">
      <c r="A46" s="98">
        <v>45</v>
      </c>
      <c r="B46" s="98">
        <v>197</v>
      </c>
      <c r="D46" s="98" t="s">
        <v>60</v>
      </c>
    </row>
    <row r="47" spans="1:4">
      <c r="A47" s="98">
        <v>46</v>
      </c>
      <c r="B47" s="98">
        <v>199</v>
      </c>
      <c r="D47" s="98" t="s">
        <v>61</v>
      </c>
    </row>
    <row r="48" spans="1:4">
      <c r="A48" s="98">
        <v>47</v>
      </c>
      <c r="B48" s="98">
        <v>211</v>
      </c>
      <c r="D48" s="98" t="s">
        <v>62</v>
      </c>
    </row>
    <row r="49" spans="1:4">
      <c r="A49" s="98">
        <v>48</v>
      </c>
      <c r="B49" s="98">
        <v>223</v>
      </c>
      <c r="D49" s="98" t="s">
        <v>63</v>
      </c>
    </row>
    <row r="50" spans="1:4">
      <c r="A50" s="98">
        <v>49</v>
      </c>
      <c r="B50" s="98">
        <v>227</v>
      </c>
      <c r="D50" s="98" t="s">
        <v>64</v>
      </c>
    </row>
    <row r="51" spans="1:4">
      <c r="A51" s="98">
        <v>50</v>
      </c>
      <c r="B51" s="98">
        <v>229</v>
      </c>
      <c r="D51" s="98" t="s">
        <v>65</v>
      </c>
    </row>
    <row r="85" spans="1:4">
      <c r="A85" s="102"/>
      <c r="B85" s="102"/>
      <c r="C85" s="102"/>
      <c r="D85" s="102"/>
    </row>
    <row r="86" spans="1:4">
      <c r="A86" s="102"/>
      <c r="B86" s="102"/>
      <c r="C86" s="102"/>
      <c r="D86" s="102"/>
    </row>
    <row r="87" spans="1:4">
      <c r="A87" s="102"/>
      <c r="B87" s="102"/>
      <c r="C87" s="102"/>
      <c r="D87" s="102"/>
    </row>
    <row r="88" spans="1:4">
      <c r="A88" s="102"/>
      <c r="B88" s="102"/>
      <c r="C88" s="102"/>
      <c r="D88" s="102"/>
    </row>
    <row r="89" spans="1:4">
      <c r="A89" s="102"/>
      <c r="B89" s="102"/>
      <c r="C89" s="102"/>
      <c r="D89" s="102"/>
    </row>
    <row r="90" spans="1:4">
      <c r="A90" s="102"/>
      <c r="B90" s="102"/>
      <c r="C90" s="102"/>
      <c r="D90" s="102"/>
    </row>
    <row r="91" spans="1:4">
      <c r="A91" s="102"/>
      <c r="B91" s="102"/>
      <c r="C91" s="102"/>
      <c r="D91" s="102"/>
    </row>
    <row r="92" spans="1:4">
      <c r="A92" s="102"/>
      <c r="B92" s="102"/>
      <c r="C92" s="102"/>
      <c r="D92" s="102"/>
    </row>
    <row r="93" spans="1:4">
      <c r="A93" s="102"/>
      <c r="B93" s="102"/>
      <c r="C93" s="102"/>
      <c r="D93" s="102"/>
    </row>
    <row r="94" spans="1:4">
      <c r="A94" s="102"/>
      <c r="B94" s="102"/>
      <c r="C94" s="102"/>
      <c r="D94" s="102"/>
    </row>
    <row r="95" spans="1:4">
      <c r="A95" s="102"/>
      <c r="B95" s="102"/>
      <c r="C95" s="102"/>
      <c r="D95" s="102"/>
    </row>
    <row r="96" spans="1:4">
      <c r="A96" s="102"/>
      <c r="B96" s="102"/>
      <c r="C96" s="102"/>
      <c r="D96" s="102"/>
    </row>
    <row r="97" spans="1:4">
      <c r="A97" s="102"/>
      <c r="B97" s="102"/>
      <c r="C97" s="102"/>
      <c r="D97" s="102"/>
    </row>
    <row r="98" spans="1:4">
      <c r="A98" s="102"/>
      <c r="B98" s="102"/>
      <c r="C98" s="102"/>
      <c r="D98" s="102"/>
    </row>
    <row r="99" spans="1:4">
      <c r="A99" s="102"/>
      <c r="B99" s="102"/>
      <c r="C99" s="102"/>
      <c r="D99" s="102"/>
    </row>
    <row r="100" spans="1:4">
      <c r="A100" s="102"/>
      <c r="B100" s="102"/>
      <c r="C100" s="102"/>
      <c r="D100" s="102"/>
    </row>
    <row r="101" spans="1:4">
      <c r="A101" s="102"/>
      <c r="B101" s="102"/>
      <c r="C101" s="102"/>
      <c r="D101" s="102"/>
    </row>
    <row r="102" spans="1:4">
      <c r="A102" s="102"/>
      <c r="B102" s="102"/>
      <c r="C102" s="102"/>
      <c r="D102" s="102"/>
    </row>
    <row r="103" spans="1:4">
      <c r="A103" s="102"/>
      <c r="B103" s="102"/>
      <c r="C103" s="102"/>
      <c r="D103" s="102"/>
    </row>
    <row r="104" spans="1:4">
      <c r="A104" s="102"/>
      <c r="B104" s="102"/>
      <c r="C104" s="102"/>
      <c r="D104" s="10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E304-82BA-4EA0-93C6-6D9303407FA3}">
  <dimension ref="A1:P30"/>
  <sheetViews>
    <sheetView topLeftCell="L1" workbookViewId="0">
      <selection activeCell="G11" sqref="B11:H18"/>
    </sheetView>
  </sheetViews>
  <sheetFormatPr defaultColWidth="9.85546875" defaultRowHeight="14.65"/>
  <cols>
    <col min="1" max="1" width="9.85546875" style="39"/>
    <col min="2" max="2" width="12" style="40" customWidth="1"/>
    <col min="3" max="3" width="15.85546875" style="40" customWidth="1"/>
    <col min="4" max="4" width="12.7109375" style="40" customWidth="1"/>
    <col min="5" max="6" width="9.85546875" style="40"/>
    <col min="7" max="7" width="11" style="40" customWidth="1"/>
    <col min="8" max="8" width="19.140625" style="40" customWidth="1"/>
    <col min="9" max="9" width="3.7109375" style="40" customWidth="1"/>
    <col min="10" max="10" width="3.85546875" style="40" customWidth="1"/>
    <col min="11" max="12" width="12.28515625" style="40" customWidth="1"/>
    <col min="13" max="13" width="47.42578125" style="40" customWidth="1"/>
    <col min="14" max="14" width="4.42578125" style="40" customWidth="1"/>
    <col min="15" max="15" width="4" style="40" customWidth="1"/>
    <col min="16" max="16" width="12.28515625" style="40" customWidth="1"/>
    <col min="17" max="16384" width="9.85546875" style="40"/>
  </cols>
  <sheetData>
    <row r="1" spans="1:16">
      <c r="H1" s="41"/>
    </row>
    <row r="2" spans="1:16" ht="34.35">
      <c r="H2" s="104" t="s">
        <v>66</v>
      </c>
      <c r="I2" s="105"/>
      <c r="J2" s="105"/>
      <c r="K2" s="105"/>
      <c r="L2" s="105"/>
      <c r="M2" s="105"/>
      <c r="N2" s="105"/>
      <c r="O2" s="105"/>
      <c r="P2" s="105"/>
    </row>
    <row r="3" spans="1:16">
      <c r="H3" s="41"/>
    </row>
    <row r="4" spans="1:16" ht="30">
      <c r="H4" s="106" t="s">
        <v>67</v>
      </c>
      <c r="I4" s="107"/>
      <c r="J4" s="107"/>
      <c r="K4" s="107"/>
      <c r="L4" s="107"/>
      <c r="M4" s="107"/>
      <c r="N4" s="107"/>
      <c r="O4" s="107"/>
      <c r="P4" s="107"/>
    </row>
    <row r="5" spans="1:16" ht="15" thickBot="1">
      <c r="H5" s="41"/>
    </row>
    <row r="6" spans="1:16" ht="31.35" thickBot="1">
      <c r="H6" s="41"/>
      <c r="I6" s="108" t="s">
        <v>68</v>
      </c>
      <c r="J6" s="109"/>
      <c r="K6" s="109"/>
      <c r="L6" s="109"/>
      <c r="M6" s="109"/>
      <c r="N6" s="109"/>
      <c r="O6" s="110"/>
    </row>
    <row r="10" spans="1:16" ht="18" thickBot="1">
      <c r="A10" s="42"/>
      <c r="B10" s="43"/>
      <c r="C10" s="43"/>
      <c r="D10" s="43"/>
      <c r="E10" s="43"/>
      <c r="F10" s="43"/>
      <c r="G10" s="43"/>
    </row>
    <row r="11" spans="1:16" ht="18" thickTop="1">
      <c r="A11" s="44"/>
      <c r="B11" s="45"/>
      <c r="C11" s="45"/>
      <c r="D11" s="45"/>
      <c r="E11" s="45"/>
      <c r="F11" s="45"/>
      <c r="G11" s="45"/>
      <c r="H11" s="45"/>
    </row>
    <row r="12" spans="1:16" ht="89.45" customHeight="1">
      <c r="B12" s="111"/>
      <c r="C12" s="111"/>
      <c r="D12" s="111"/>
      <c r="E12" s="111"/>
      <c r="F12" s="111"/>
      <c r="G12" s="111"/>
      <c r="H12" s="111"/>
      <c r="I12" s="46"/>
      <c r="J12" s="46"/>
      <c r="K12" s="46"/>
      <c r="L12" s="46"/>
      <c r="M12" s="46"/>
      <c r="N12" s="46"/>
      <c r="O12" s="46"/>
    </row>
    <row r="13" spans="1:16" ht="9" customHeight="1"/>
    <row r="14" spans="1:16" ht="5.45" customHeight="1"/>
    <row r="15" spans="1:16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</row>
    <row r="16" spans="1: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  <row r="17" spans="1:13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</row>
    <row r="18" spans="1:13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</row>
    <row r="19" spans="1:13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</row>
    <row r="20" spans="1:13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</row>
    <row r="21" spans="1:13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</row>
    <row r="22" spans="1:13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</row>
    <row r="23" spans="1:1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</row>
    <row r="24" spans="1:13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</row>
    <row r="25" spans="1:13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spans="1:13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spans="1:13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</row>
    <row r="28" spans="1:13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spans="1:1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spans="1:13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2B68-EB5A-4DB2-8D0A-37D93E8D4AF9}">
  <sheetPr codeName="Sheet5">
    <tabColor rgb="FF000099"/>
  </sheetPr>
  <dimension ref="A1"/>
  <sheetViews>
    <sheetView workbookViewId="0"/>
  </sheetViews>
  <sheetFormatPr defaultColWidth="0" defaultRowHeight="14.65" zeroHeight="1"/>
  <cols>
    <col min="1" max="1" width="25.85546875" customWidth="1"/>
    <col min="2" max="16384" width="9.140625" hidden="1"/>
  </cols>
  <sheetData>
    <row r="1" spans="1:1" ht="81" customHeight="1">
      <c r="A1" s="38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EA1A-7DD7-4050-803C-C3CFC9CB936D}">
  <sheetPr codeName="Sheet6">
    <tabColor rgb="FFCCECFF"/>
  </sheetPr>
  <dimension ref="A1:N53"/>
  <sheetViews>
    <sheetView showGridLines="0" workbookViewId="0">
      <selection sqref="A1:XFD1048576"/>
    </sheetView>
  </sheetViews>
  <sheetFormatPr defaultRowHeight="14.65"/>
  <cols>
    <col min="1" max="1" width="12.7109375" customWidth="1"/>
    <col min="8" max="8" width="9.42578125" customWidth="1"/>
  </cols>
  <sheetData>
    <row r="1" spans="1:14">
      <c r="A1" t="s">
        <v>70</v>
      </c>
    </row>
    <row r="2" spans="1:14">
      <c r="A2" t="s">
        <v>4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</row>
    <row r="3" spans="1:14">
      <c r="A3" t="s">
        <v>17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 t="s">
        <v>96</v>
      </c>
    </row>
    <row r="4" spans="1:14">
      <c r="A4" t="s">
        <v>18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107</v>
      </c>
      <c r="M4" t="s">
        <v>108</v>
      </c>
      <c r="N4" t="s">
        <v>109</v>
      </c>
    </row>
    <row r="5" spans="1:14">
      <c r="A5" t="s">
        <v>19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</row>
    <row r="6" spans="1:14">
      <c r="A6" t="s">
        <v>20</v>
      </c>
      <c r="B6" t="s">
        <v>123</v>
      </c>
      <c r="C6" t="s">
        <v>124</v>
      </c>
      <c r="D6" t="s">
        <v>125</v>
      </c>
      <c r="E6" t="s">
        <v>126</v>
      </c>
      <c r="F6" t="s">
        <v>127</v>
      </c>
      <c r="G6" t="s">
        <v>128</v>
      </c>
      <c r="H6" t="s">
        <v>129</v>
      </c>
      <c r="I6" t="s">
        <v>130</v>
      </c>
      <c r="J6" t="s">
        <v>131</v>
      </c>
      <c r="K6" t="s">
        <v>132</v>
      </c>
      <c r="L6" t="s">
        <v>133</v>
      </c>
      <c r="M6" t="s">
        <v>134</v>
      </c>
      <c r="N6" t="s">
        <v>135</v>
      </c>
    </row>
    <row r="7" spans="1:14">
      <c r="A7" t="s">
        <v>21</v>
      </c>
      <c r="B7" t="s">
        <v>44</v>
      </c>
      <c r="C7" t="s">
        <v>136</v>
      </c>
      <c r="D7" t="s">
        <v>137</v>
      </c>
      <c r="E7" t="s">
        <v>138</v>
      </c>
      <c r="F7" t="s">
        <v>139</v>
      </c>
      <c r="G7" t="s">
        <v>140</v>
      </c>
      <c r="H7" t="s">
        <v>141</v>
      </c>
      <c r="I7" t="s">
        <v>142</v>
      </c>
      <c r="J7" t="s">
        <v>143</v>
      </c>
      <c r="K7" t="s">
        <v>144</v>
      </c>
      <c r="L7" t="s">
        <v>145</v>
      </c>
      <c r="M7" t="s">
        <v>146</v>
      </c>
      <c r="N7" t="s">
        <v>147</v>
      </c>
    </row>
    <row r="8" spans="1:14">
      <c r="A8" t="s">
        <v>22</v>
      </c>
      <c r="B8" t="s">
        <v>148</v>
      </c>
      <c r="C8" t="s">
        <v>149</v>
      </c>
      <c r="D8" t="s">
        <v>150</v>
      </c>
      <c r="E8" t="s">
        <v>151</v>
      </c>
      <c r="F8" t="s">
        <v>152</v>
      </c>
      <c r="G8" t="s">
        <v>153</v>
      </c>
      <c r="H8" t="s">
        <v>154</v>
      </c>
      <c r="I8" t="s">
        <v>155</v>
      </c>
      <c r="J8" t="s">
        <v>156</v>
      </c>
      <c r="K8" t="s">
        <v>157</v>
      </c>
      <c r="L8" t="s">
        <v>158</v>
      </c>
      <c r="M8" t="s">
        <v>159</v>
      </c>
      <c r="N8" t="s">
        <v>160</v>
      </c>
    </row>
    <row r="9" spans="1:14">
      <c r="A9" t="s">
        <v>23</v>
      </c>
      <c r="B9" t="s">
        <v>161</v>
      </c>
      <c r="C9" t="s">
        <v>162</v>
      </c>
      <c r="D9" t="s">
        <v>163</v>
      </c>
      <c r="E9" t="s">
        <v>164</v>
      </c>
      <c r="F9" t="s">
        <v>165</v>
      </c>
      <c r="G9" t="s">
        <v>166</v>
      </c>
      <c r="H9" t="s">
        <v>167</v>
      </c>
      <c r="I9" t="s">
        <v>168</v>
      </c>
      <c r="J9" t="s">
        <v>169</v>
      </c>
      <c r="K9" t="s">
        <v>170</v>
      </c>
      <c r="L9" t="s">
        <v>171</v>
      </c>
      <c r="M9" t="s">
        <v>172</v>
      </c>
      <c r="N9" t="s">
        <v>173</v>
      </c>
    </row>
    <row r="10" spans="1:14">
      <c r="A10" t="s">
        <v>24</v>
      </c>
      <c r="B10" t="s">
        <v>174</v>
      </c>
      <c r="C10" t="s">
        <v>175</v>
      </c>
      <c r="D10" t="s">
        <v>176</v>
      </c>
      <c r="E10" t="s">
        <v>177</v>
      </c>
      <c r="F10" t="s">
        <v>178</v>
      </c>
      <c r="G10" t="s">
        <v>179</v>
      </c>
      <c r="H10" t="s">
        <v>180</v>
      </c>
      <c r="I10" t="s">
        <v>181</v>
      </c>
      <c r="J10" t="s">
        <v>182</v>
      </c>
      <c r="K10" t="s">
        <v>183</v>
      </c>
      <c r="L10" t="s">
        <v>184</v>
      </c>
      <c r="M10" t="s">
        <v>185</v>
      </c>
      <c r="N10" t="s">
        <v>186</v>
      </c>
    </row>
    <row r="11" spans="1:14">
      <c r="A11" t="s">
        <v>25</v>
      </c>
      <c r="B11" t="s">
        <v>174</v>
      </c>
      <c r="C11" t="s">
        <v>187</v>
      </c>
      <c r="D11" t="s">
        <v>188</v>
      </c>
      <c r="E11" t="s">
        <v>189</v>
      </c>
      <c r="F11" t="s">
        <v>190</v>
      </c>
      <c r="G11" t="s">
        <v>191</v>
      </c>
      <c r="H11" t="s">
        <v>192</v>
      </c>
      <c r="I11" t="s">
        <v>193</v>
      </c>
      <c r="J11" t="s">
        <v>194</v>
      </c>
      <c r="K11" t="s">
        <v>195</v>
      </c>
      <c r="L11" t="s">
        <v>196</v>
      </c>
      <c r="M11" t="s">
        <v>197</v>
      </c>
      <c r="N11" t="s">
        <v>198</v>
      </c>
    </row>
    <row r="12" spans="1:14">
      <c r="A12" t="s">
        <v>26</v>
      </c>
      <c r="B12" t="s">
        <v>174</v>
      </c>
      <c r="C12" t="s">
        <v>199</v>
      </c>
      <c r="D12" t="s">
        <v>200</v>
      </c>
      <c r="E12" t="s">
        <v>201</v>
      </c>
      <c r="F12" t="s">
        <v>202</v>
      </c>
      <c r="G12" t="s">
        <v>203</v>
      </c>
      <c r="H12" t="s">
        <v>204</v>
      </c>
      <c r="I12" t="s">
        <v>205</v>
      </c>
      <c r="J12" t="s">
        <v>206</v>
      </c>
      <c r="K12" t="s">
        <v>207</v>
      </c>
      <c r="L12" t="s">
        <v>208</v>
      </c>
      <c r="M12" t="s">
        <v>209</v>
      </c>
      <c r="N12" t="s">
        <v>210</v>
      </c>
    </row>
    <row r="13" spans="1:14">
      <c r="A13" t="s">
        <v>27</v>
      </c>
      <c r="B13" t="s">
        <v>84</v>
      </c>
      <c r="C13" t="s">
        <v>211</v>
      </c>
      <c r="D13" t="s">
        <v>212</v>
      </c>
      <c r="E13" t="s">
        <v>213</v>
      </c>
      <c r="F13" t="s">
        <v>214</v>
      </c>
      <c r="G13" t="s">
        <v>215</v>
      </c>
      <c r="H13" t="s">
        <v>216</v>
      </c>
      <c r="I13" t="s">
        <v>217</v>
      </c>
      <c r="J13" t="s">
        <v>218</v>
      </c>
      <c r="K13" t="s">
        <v>219</v>
      </c>
      <c r="L13" t="s">
        <v>220</v>
      </c>
      <c r="M13" t="s">
        <v>221</v>
      </c>
      <c r="N13" t="s">
        <v>222</v>
      </c>
    </row>
    <row r="14" spans="1:14">
      <c r="A14" t="s">
        <v>28</v>
      </c>
      <c r="B14" t="s">
        <v>223</v>
      </c>
      <c r="C14" t="s">
        <v>224</v>
      </c>
      <c r="D14" t="s">
        <v>225</v>
      </c>
      <c r="E14" t="s">
        <v>226</v>
      </c>
      <c r="F14" t="s">
        <v>227</v>
      </c>
      <c r="G14" t="s">
        <v>228</v>
      </c>
      <c r="H14" t="s">
        <v>229</v>
      </c>
      <c r="I14" t="s">
        <v>230</v>
      </c>
      <c r="J14" t="s">
        <v>231</v>
      </c>
      <c r="K14" t="s">
        <v>232</v>
      </c>
      <c r="L14" t="s">
        <v>233</v>
      </c>
      <c r="M14" t="s">
        <v>234</v>
      </c>
      <c r="N14" t="s">
        <v>235</v>
      </c>
    </row>
    <row r="15" spans="1:14">
      <c r="A15" t="s">
        <v>29</v>
      </c>
      <c r="B15" t="s">
        <v>236</v>
      </c>
      <c r="C15" t="s">
        <v>237</v>
      </c>
      <c r="D15" t="s">
        <v>238</v>
      </c>
      <c r="E15" t="s">
        <v>239</v>
      </c>
      <c r="F15" t="s">
        <v>165</v>
      </c>
      <c r="G15" t="s">
        <v>240</v>
      </c>
      <c r="H15" t="s">
        <v>192</v>
      </c>
      <c r="I15" t="s">
        <v>193</v>
      </c>
      <c r="J15" t="s">
        <v>194</v>
      </c>
      <c r="K15" t="s">
        <v>241</v>
      </c>
      <c r="L15" t="s">
        <v>171</v>
      </c>
      <c r="M15" t="s">
        <v>242</v>
      </c>
      <c r="N15" t="s">
        <v>147</v>
      </c>
    </row>
    <row r="16" spans="1:14">
      <c r="A16" t="s">
        <v>30</v>
      </c>
      <c r="B16" t="s">
        <v>243</v>
      </c>
      <c r="C16" t="s">
        <v>244</v>
      </c>
      <c r="D16" t="s">
        <v>245</v>
      </c>
      <c r="E16" t="s">
        <v>246</v>
      </c>
      <c r="F16" t="s">
        <v>247</v>
      </c>
      <c r="G16" t="s">
        <v>248</v>
      </c>
      <c r="H16" t="s">
        <v>249</v>
      </c>
      <c r="I16" t="s">
        <v>250</v>
      </c>
      <c r="J16" t="s">
        <v>251</v>
      </c>
      <c r="K16" t="s">
        <v>252</v>
      </c>
      <c r="L16" t="s">
        <v>253</v>
      </c>
      <c r="M16" t="s">
        <v>254</v>
      </c>
      <c r="N16" t="s">
        <v>255</v>
      </c>
    </row>
    <row r="17" spans="1:14">
      <c r="A17" t="s">
        <v>31</v>
      </c>
      <c r="B17" t="s">
        <v>84</v>
      </c>
      <c r="C17" t="s">
        <v>256</v>
      </c>
      <c r="D17" t="s">
        <v>257</v>
      </c>
      <c r="E17" t="s">
        <v>258</v>
      </c>
      <c r="F17" t="s">
        <v>88</v>
      </c>
      <c r="G17" t="s">
        <v>259</v>
      </c>
      <c r="H17" t="s">
        <v>260</v>
      </c>
      <c r="I17" t="s">
        <v>261</v>
      </c>
      <c r="J17" t="s">
        <v>262</v>
      </c>
      <c r="K17" t="s">
        <v>263</v>
      </c>
      <c r="L17" t="s">
        <v>94</v>
      </c>
      <c r="M17" t="s">
        <v>264</v>
      </c>
      <c r="N17" t="s">
        <v>265</v>
      </c>
    </row>
    <row r="18" spans="1:14">
      <c r="A18" t="s">
        <v>32</v>
      </c>
      <c r="B18" t="s">
        <v>266</v>
      </c>
      <c r="C18" t="s">
        <v>267</v>
      </c>
      <c r="D18" t="s">
        <v>268</v>
      </c>
      <c r="E18" t="s">
        <v>269</v>
      </c>
      <c r="F18" t="s">
        <v>270</v>
      </c>
      <c r="G18" t="s">
        <v>271</v>
      </c>
      <c r="H18" t="s">
        <v>204</v>
      </c>
      <c r="I18" t="s">
        <v>205</v>
      </c>
      <c r="J18" t="s">
        <v>206</v>
      </c>
      <c r="K18" t="s">
        <v>272</v>
      </c>
      <c r="L18" t="s">
        <v>208</v>
      </c>
      <c r="M18" t="s">
        <v>273</v>
      </c>
      <c r="N18" t="s">
        <v>274</v>
      </c>
    </row>
    <row r="19" spans="1:14">
      <c r="A19" t="s">
        <v>33</v>
      </c>
      <c r="B19" t="s">
        <v>275</v>
      </c>
      <c r="C19" t="s">
        <v>276</v>
      </c>
      <c r="D19" t="s">
        <v>277</v>
      </c>
      <c r="E19" t="s">
        <v>278</v>
      </c>
      <c r="F19" t="s">
        <v>279</v>
      </c>
      <c r="G19" t="s">
        <v>280</v>
      </c>
      <c r="H19" t="s">
        <v>281</v>
      </c>
      <c r="I19" t="s">
        <v>282</v>
      </c>
      <c r="J19" t="s">
        <v>283</v>
      </c>
      <c r="K19" t="s">
        <v>284</v>
      </c>
      <c r="L19" t="s">
        <v>285</v>
      </c>
      <c r="M19" t="s">
        <v>286</v>
      </c>
      <c r="N19" t="s">
        <v>287</v>
      </c>
    </row>
    <row r="20" spans="1:14">
      <c r="A20" t="s">
        <v>34</v>
      </c>
      <c r="B20" t="s">
        <v>288</v>
      </c>
      <c r="C20" t="s">
        <v>175</v>
      </c>
      <c r="D20" t="s">
        <v>289</v>
      </c>
      <c r="E20" t="s">
        <v>290</v>
      </c>
      <c r="F20" t="s">
        <v>291</v>
      </c>
      <c r="G20" t="s">
        <v>292</v>
      </c>
      <c r="H20" t="s">
        <v>293</v>
      </c>
      <c r="I20" t="s">
        <v>294</v>
      </c>
      <c r="J20" t="s">
        <v>295</v>
      </c>
      <c r="K20" t="s">
        <v>296</v>
      </c>
      <c r="L20" t="s">
        <v>297</v>
      </c>
      <c r="M20" t="s">
        <v>298</v>
      </c>
      <c r="N20" t="s">
        <v>299</v>
      </c>
    </row>
    <row r="21" spans="1:14">
      <c r="A21" t="s">
        <v>35</v>
      </c>
      <c r="B21" t="s">
        <v>300</v>
      </c>
      <c r="C21" t="s">
        <v>301</v>
      </c>
      <c r="D21" t="s">
        <v>302</v>
      </c>
      <c r="E21" t="s">
        <v>303</v>
      </c>
      <c r="F21" t="s">
        <v>304</v>
      </c>
      <c r="G21" t="s">
        <v>305</v>
      </c>
      <c r="H21" t="s">
        <v>306</v>
      </c>
      <c r="I21" t="s">
        <v>307</v>
      </c>
      <c r="J21" t="s">
        <v>308</v>
      </c>
      <c r="K21" t="s">
        <v>309</v>
      </c>
      <c r="L21" t="s">
        <v>310</v>
      </c>
      <c r="M21" t="s">
        <v>311</v>
      </c>
      <c r="N21" t="s">
        <v>312</v>
      </c>
    </row>
    <row r="22" spans="1:14">
      <c r="A22" t="s">
        <v>36</v>
      </c>
      <c r="B22" t="s">
        <v>313</v>
      </c>
      <c r="C22" t="s">
        <v>314</v>
      </c>
      <c r="D22" t="s">
        <v>315</v>
      </c>
      <c r="E22" t="s">
        <v>316</v>
      </c>
      <c r="F22" t="s">
        <v>317</v>
      </c>
      <c r="G22" t="s">
        <v>318</v>
      </c>
      <c r="H22" t="s">
        <v>319</v>
      </c>
      <c r="I22" t="s">
        <v>193</v>
      </c>
      <c r="J22" t="s">
        <v>206</v>
      </c>
      <c r="K22" t="s">
        <v>320</v>
      </c>
      <c r="L22" t="s">
        <v>321</v>
      </c>
      <c r="M22" t="s">
        <v>264</v>
      </c>
      <c r="N22" t="s">
        <v>322</v>
      </c>
    </row>
    <row r="23" spans="1:14">
      <c r="A23" t="s">
        <v>37</v>
      </c>
      <c r="B23" t="s">
        <v>323</v>
      </c>
      <c r="C23" t="s">
        <v>324</v>
      </c>
      <c r="D23" t="s">
        <v>325</v>
      </c>
      <c r="E23" t="s">
        <v>326</v>
      </c>
      <c r="F23" t="s">
        <v>327</v>
      </c>
      <c r="G23" t="s">
        <v>328</v>
      </c>
      <c r="H23" t="s">
        <v>329</v>
      </c>
      <c r="I23" t="s">
        <v>330</v>
      </c>
      <c r="J23" t="s">
        <v>331</v>
      </c>
      <c r="K23" t="s">
        <v>332</v>
      </c>
      <c r="L23" t="s">
        <v>333</v>
      </c>
      <c r="M23" t="s">
        <v>334</v>
      </c>
      <c r="N23" t="s">
        <v>335</v>
      </c>
    </row>
    <row r="24" spans="1:14">
      <c r="A24" t="s">
        <v>38</v>
      </c>
      <c r="B24" t="s">
        <v>336</v>
      </c>
      <c r="C24" t="s">
        <v>337</v>
      </c>
      <c r="D24" t="s">
        <v>338</v>
      </c>
      <c r="E24" t="s">
        <v>339</v>
      </c>
      <c r="F24" t="s">
        <v>340</v>
      </c>
      <c r="G24" t="s">
        <v>341</v>
      </c>
      <c r="H24" t="s">
        <v>342</v>
      </c>
      <c r="I24" t="s">
        <v>343</v>
      </c>
      <c r="J24" t="s">
        <v>283</v>
      </c>
      <c r="K24" t="s">
        <v>344</v>
      </c>
      <c r="L24" t="s">
        <v>345</v>
      </c>
      <c r="M24" t="s">
        <v>346</v>
      </c>
      <c r="N24" t="s">
        <v>347</v>
      </c>
    </row>
    <row r="25" spans="1:14">
      <c r="A25" t="s">
        <v>39</v>
      </c>
      <c r="B25" t="s">
        <v>275</v>
      </c>
      <c r="C25" t="s">
        <v>348</v>
      </c>
      <c r="D25" t="s">
        <v>349</v>
      </c>
      <c r="E25" t="s">
        <v>350</v>
      </c>
      <c r="F25" t="s">
        <v>351</v>
      </c>
      <c r="G25" t="s">
        <v>352</v>
      </c>
      <c r="H25" t="s">
        <v>353</v>
      </c>
      <c r="I25" t="s">
        <v>354</v>
      </c>
      <c r="J25" t="s">
        <v>355</v>
      </c>
      <c r="K25" t="s">
        <v>356</v>
      </c>
      <c r="L25" t="s">
        <v>357</v>
      </c>
      <c r="M25" t="s">
        <v>358</v>
      </c>
      <c r="N25" t="s">
        <v>359</v>
      </c>
    </row>
    <row r="26" spans="1:14">
      <c r="A26" t="s">
        <v>40</v>
      </c>
      <c r="B26" t="s">
        <v>360</v>
      </c>
      <c r="C26" t="s">
        <v>361</v>
      </c>
      <c r="D26" t="s">
        <v>137</v>
      </c>
      <c r="E26" t="s">
        <v>362</v>
      </c>
      <c r="F26" t="s">
        <v>363</v>
      </c>
      <c r="G26" t="s">
        <v>364</v>
      </c>
      <c r="H26" t="s">
        <v>141</v>
      </c>
      <c r="I26" t="s">
        <v>365</v>
      </c>
      <c r="J26" t="s">
        <v>366</v>
      </c>
      <c r="K26" t="s">
        <v>367</v>
      </c>
      <c r="L26" t="s">
        <v>145</v>
      </c>
      <c r="M26" t="s">
        <v>368</v>
      </c>
      <c r="N26" t="s">
        <v>369</v>
      </c>
    </row>
    <row r="27" spans="1:14">
      <c r="A27" t="s">
        <v>41</v>
      </c>
      <c r="B27" t="s">
        <v>370</v>
      </c>
      <c r="C27" t="s">
        <v>371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 t="s">
        <v>193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</row>
    <row r="28" spans="1:14">
      <c r="A28" t="s">
        <v>42</v>
      </c>
      <c r="B28" t="s">
        <v>336</v>
      </c>
      <c r="C28" t="s">
        <v>382</v>
      </c>
      <c r="D28" t="s">
        <v>383</v>
      </c>
      <c r="E28" t="s">
        <v>384</v>
      </c>
      <c r="F28" t="s">
        <v>385</v>
      </c>
      <c r="G28" t="s">
        <v>386</v>
      </c>
      <c r="H28" t="s">
        <v>154</v>
      </c>
      <c r="I28" t="s">
        <v>330</v>
      </c>
      <c r="J28" t="s">
        <v>387</v>
      </c>
      <c r="K28" t="s">
        <v>332</v>
      </c>
      <c r="L28" t="s">
        <v>158</v>
      </c>
      <c r="M28" t="s">
        <v>388</v>
      </c>
      <c r="N28" t="s">
        <v>389</v>
      </c>
    </row>
    <row r="29" spans="1:14">
      <c r="A29" t="s">
        <v>43</v>
      </c>
      <c r="B29" t="s">
        <v>390</v>
      </c>
      <c r="C29" t="s">
        <v>391</v>
      </c>
      <c r="D29" t="s">
        <v>392</v>
      </c>
      <c r="E29" t="s">
        <v>393</v>
      </c>
      <c r="F29" t="s">
        <v>394</v>
      </c>
      <c r="G29" t="s">
        <v>395</v>
      </c>
      <c r="H29" t="s">
        <v>396</v>
      </c>
      <c r="I29" t="s">
        <v>397</v>
      </c>
      <c r="J29" t="s">
        <v>398</v>
      </c>
      <c r="K29" t="s">
        <v>399</v>
      </c>
      <c r="L29" t="s">
        <v>400</v>
      </c>
      <c r="M29" t="s">
        <v>401</v>
      </c>
      <c r="N29" t="s">
        <v>402</v>
      </c>
    </row>
    <row r="30" spans="1:14">
      <c r="A30" t="s">
        <v>44</v>
      </c>
      <c r="B30" t="s">
        <v>44</v>
      </c>
      <c r="C30" t="s">
        <v>403</v>
      </c>
      <c r="D30" t="s">
        <v>404</v>
      </c>
      <c r="E30" t="s">
        <v>405</v>
      </c>
      <c r="F30" t="s">
        <v>406</v>
      </c>
      <c r="G30" t="s">
        <v>407</v>
      </c>
      <c r="H30" t="s">
        <v>408</v>
      </c>
      <c r="I30" t="s">
        <v>409</v>
      </c>
      <c r="J30" t="s">
        <v>410</v>
      </c>
      <c r="K30" t="s">
        <v>411</v>
      </c>
      <c r="L30" t="s">
        <v>412</v>
      </c>
      <c r="M30" t="s">
        <v>413</v>
      </c>
      <c r="N30" t="s">
        <v>414</v>
      </c>
    </row>
    <row r="31" spans="1:14">
      <c r="A31" t="s">
        <v>45</v>
      </c>
      <c r="B31" t="s">
        <v>415</v>
      </c>
      <c r="C31" t="s">
        <v>416</v>
      </c>
      <c r="D31" t="s">
        <v>150</v>
      </c>
      <c r="E31" t="s">
        <v>417</v>
      </c>
      <c r="F31" t="s">
        <v>418</v>
      </c>
      <c r="G31" t="s">
        <v>76</v>
      </c>
      <c r="H31" t="s">
        <v>116</v>
      </c>
      <c r="I31" t="s">
        <v>419</v>
      </c>
      <c r="J31" t="s">
        <v>420</v>
      </c>
      <c r="K31" t="s">
        <v>421</v>
      </c>
      <c r="L31" t="s">
        <v>422</v>
      </c>
      <c r="M31" t="s">
        <v>423</v>
      </c>
      <c r="N31" t="s">
        <v>424</v>
      </c>
    </row>
    <row r="32" spans="1:14">
      <c r="A32" t="s">
        <v>46</v>
      </c>
      <c r="B32" t="s">
        <v>275</v>
      </c>
      <c r="C32" t="s">
        <v>425</v>
      </c>
      <c r="D32" t="s">
        <v>426</v>
      </c>
      <c r="E32" t="s">
        <v>427</v>
      </c>
      <c r="F32" t="s">
        <v>428</v>
      </c>
      <c r="G32" t="s">
        <v>429</v>
      </c>
      <c r="H32" t="s">
        <v>430</v>
      </c>
      <c r="I32" t="s">
        <v>343</v>
      </c>
      <c r="J32" t="s">
        <v>431</v>
      </c>
      <c r="K32" t="s">
        <v>432</v>
      </c>
      <c r="L32" t="s">
        <v>433</v>
      </c>
      <c r="M32" t="s">
        <v>434</v>
      </c>
      <c r="N32" t="s">
        <v>435</v>
      </c>
    </row>
    <row r="33" spans="1:14">
      <c r="A33" t="s">
        <v>47</v>
      </c>
      <c r="B33" t="s">
        <v>436</v>
      </c>
      <c r="C33" t="s">
        <v>437</v>
      </c>
      <c r="D33" t="s">
        <v>438</v>
      </c>
      <c r="E33" t="s">
        <v>439</v>
      </c>
      <c r="F33" t="s">
        <v>440</v>
      </c>
      <c r="G33" t="s">
        <v>441</v>
      </c>
      <c r="H33" t="s">
        <v>442</v>
      </c>
      <c r="I33" t="s">
        <v>443</v>
      </c>
      <c r="J33" t="s">
        <v>444</v>
      </c>
      <c r="K33" t="s">
        <v>445</v>
      </c>
      <c r="L33" t="s">
        <v>446</v>
      </c>
      <c r="M33" t="s">
        <v>447</v>
      </c>
      <c r="N33" t="s">
        <v>448</v>
      </c>
    </row>
    <row r="34" spans="1:14">
      <c r="A34" t="s">
        <v>48</v>
      </c>
      <c r="B34" t="s">
        <v>449</v>
      </c>
      <c r="C34" t="s">
        <v>450</v>
      </c>
      <c r="D34" t="s">
        <v>451</v>
      </c>
      <c r="E34" t="s">
        <v>452</v>
      </c>
      <c r="F34" t="s">
        <v>453</v>
      </c>
      <c r="G34" t="s">
        <v>454</v>
      </c>
      <c r="H34" t="s">
        <v>455</v>
      </c>
      <c r="I34" t="s">
        <v>456</v>
      </c>
      <c r="J34" t="s">
        <v>457</v>
      </c>
      <c r="K34" t="s">
        <v>458</v>
      </c>
      <c r="L34" t="s">
        <v>459</v>
      </c>
      <c r="M34" t="s">
        <v>460</v>
      </c>
      <c r="N34" t="s">
        <v>461</v>
      </c>
    </row>
    <row r="35" spans="1:14">
      <c r="A35" t="s">
        <v>49</v>
      </c>
      <c r="B35" t="s">
        <v>436</v>
      </c>
      <c r="C35" t="s">
        <v>267</v>
      </c>
      <c r="D35" t="s">
        <v>462</v>
      </c>
      <c r="E35" t="s">
        <v>463</v>
      </c>
      <c r="F35" t="s">
        <v>464</v>
      </c>
      <c r="G35" t="s">
        <v>465</v>
      </c>
      <c r="H35" t="s">
        <v>466</v>
      </c>
      <c r="I35" t="s">
        <v>467</v>
      </c>
      <c r="J35" t="s">
        <v>377</v>
      </c>
      <c r="K35" t="s">
        <v>468</v>
      </c>
      <c r="L35" t="s">
        <v>469</v>
      </c>
      <c r="M35" t="s">
        <v>470</v>
      </c>
      <c r="N35" t="s">
        <v>471</v>
      </c>
    </row>
    <row r="36" spans="1:14">
      <c r="A36" t="s">
        <v>50</v>
      </c>
      <c r="B36" t="s">
        <v>472</v>
      </c>
      <c r="C36" t="s">
        <v>473</v>
      </c>
      <c r="D36" t="s">
        <v>474</v>
      </c>
      <c r="E36" t="s">
        <v>475</v>
      </c>
      <c r="F36" t="s">
        <v>476</v>
      </c>
      <c r="G36" t="s">
        <v>477</v>
      </c>
      <c r="H36" s="100" t="s">
        <v>478</v>
      </c>
      <c r="I36" t="s">
        <v>479</v>
      </c>
      <c r="J36" t="s">
        <v>480</v>
      </c>
      <c r="K36" t="s">
        <v>481</v>
      </c>
      <c r="L36" t="s">
        <v>482</v>
      </c>
      <c r="M36" s="100" t="s">
        <v>483</v>
      </c>
      <c r="N36" t="s">
        <v>484</v>
      </c>
    </row>
    <row r="37" spans="1:14">
      <c r="A37" t="s">
        <v>51</v>
      </c>
      <c r="B37" t="s">
        <v>485</v>
      </c>
      <c r="C37" t="s">
        <v>486</v>
      </c>
      <c r="D37" t="s">
        <v>268</v>
      </c>
      <c r="E37" t="s">
        <v>487</v>
      </c>
      <c r="F37" t="s">
        <v>190</v>
      </c>
      <c r="G37" t="s">
        <v>488</v>
      </c>
      <c r="H37" t="s">
        <v>489</v>
      </c>
      <c r="I37" t="s">
        <v>193</v>
      </c>
      <c r="J37" t="s">
        <v>194</v>
      </c>
      <c r="K37" t="s">
        <v>241</v>
      </c>
      <c r="L37" t="s">
        <v>490</v>
      </c>
      <c r="M37" t="s">
        <v>209</v>
      </c>
      <c r="N37" t="s">
        <v>299</v>
      </c>
    </row>
    <row r="38" spans="1:14">
      <c r="A38" t="s">
        <v>52</v>
      </c>
      <c r="B38" t="s">
        <v>148</v>
      </c>
      <c r="C38" t="s">
        <v>149</v>
      </c>
      <c r="D38" t="s">
        <v>491</v>
      </c>
      <c r="E38" t="s">
        <v>151</v>
      </c>
      <c r="F38" t="s">
        <v>492</v>
      </c>
      <c r="G38" t="s">
        <v>493</v>
      </c>
      <c r="H38" t="s">
        <v>494</v>
      </c>
      <c r="I38" t="s">
        <v>495</v>
      </c>
      <c r="J38" t="s">
        <v>387</v>
      </c>
      <c r="K38" t="s">
        <v>332</v>
      </c>
      <c r="L38" t="s">
        <v>496</v>
      </c>
      <c r="M38" t="s">
        <v>497</v>
      </c>
      <c r="N38" t="s">
        <v>498</v>
      </c>
    </row>
    <row r="39" spans="1:14">
      <c r="A39" t="s">
        <v>53</v>
      </c>
      <c r="B39" t="s">
        <v>499</v>
      </c>
      <c r="C39" t="s">
        <v>382</v>
      </c>
      <c r="D39" t="s">
        <v>500</v>
      </c>
      <c r="E39" t="s">
        <v>501</v>
      </c>
      <c r="F39" t="s">
        <v>502</v>
      </c>
      <c r="G39" t="s">
        <v>503</v>
      </c>
      <c r="H39" t="s">
        <v>154</v>
      </c>
      <c r="I39" t="s">
        <v>495</v>
      </c>
      <c r="J39" t="s">
        <v>156</v>
      </c>
      <c r="K39" t="s">
        <v>157</v>
      </c>
      <c r="L39" t="s">
        <v>504</v>
      </c>
      <c r="M39" t="s">
        <v>505</v>
      </c>
      <c r="N39" t="s">
        <v>424</v>
      </c>
    </row>
    <row r="40" spans="1:14">
      <c r="A40" t="s">
        <v>54</v>
      </c>
      <c r="B40" t="s">
        <v>313</v>
      </c>
      <c r="C40" t="s">
        <v>506</v>
      </c>
      <c r="D40" t="s">
        <v>507</v>
      </c>
      <c r="E40" t="s">
        <v>508</v>
      </c>
      <c r="F40" t="s">
        <v>509</v>
      </c>
      <c r="G40" t="s">
        <v>510</v>
      </c>
      <c r="H40" t="s">
        <v>511</v>
      </c>
      <c r="I40" t="s">
        <v>512</v>
      </c>
      <c r="J40" t="s">
        <v>513</v>
      </c>
      <c r="K40" t="s">
        <v>514</v>
      </c>
      <c r="L40" t="s">
        <v>515</v>
      </c>
      <c r="M40" t="s">
        <v>516</v>
      </c>
      <c r="N40" t="s">
        <v>517</v>
      </c>
    </row>
    <row r="41" spans="1:14">
      <c r="A41" t="s">
        <v>55</v>
      </c>
      <c r="B41" t="s">
        <v>44</v>
      </c>
      <c r="C41" t="s">
        <v>518</v>
      </c>
      <c r="D41" t="s">
        <v>519</v>
      </c>
      <c r="E41" t="s">
        <v>520</v>
      </c>
      <c r="F41" t="s">
        <v>521</v>
      </c>
      <c r="G41" t="s">
        <v>522</v>
      </c>
      <c r="H41" t="s">
        <v>523</v>
      </c>
      <c r="I41" t="s">
        <v>524</v>
      </c>
      <c r="J41" t="s">
        <v>525</v>
      </c>
      <c r="K41" t="s">
        <v>378</v>
      </c>
      <c r="L41" t="s">
        <v>526</v>
      </c>
      <c r="M41" t="s">
        <v>527</v>
      </c>
      <c r="N41" t="s">
        <v>528</v>
      </c>
    </row>
    <row r="42" spans="1:14">
      <c r="A42" t="s">
        <v>56</v>
      </c>
      <c r="B42" t="s">
        <v>313</v>
      </c>
      <c r="C42" t="s">
        <v>529</v>
      </c>
      <c r="D42" t="s">
        <v>530</v>
      </c>
      <c r="E42" t="s">
        <v>74</v>
      </c>
      <c r="F42" t="s">
        <v>531</v>
      </c>
      <c r="G42" t="s">
        <v>532</v>
      </c>
      <c r="H42" t="s">
        <v>533</v>
      </c>
      <c r="I42" t="s">
        <v>534</v>
      </c>
      <c r="J42" t="s">
        <v>535</v>
      </c>
      <c r="K42" t="s">
        <v>536</v>
      </c>
      <c r="L42" t="s">
        <v>537</v>
      </c>
      <c r="M42" t="s">
        <v>538</v>
      </c>
      <c r="N42" t="s">
        <v>539</v>
      </c>
    </row>
    <row r="43" spans="1:14">
      <c r="A43" t="s">
        <v>57</v>
      </c>
      <c r="B43" t="s">
        <v>540</v>
      </c>
      <c r="C43" t="s">
        <v>541</v>
      </c>
      <c r="D43" t="s">
        <v>542</v>
      </c>
      <c r="E43" t="s">
        <v>100</v>
      </c>
      <c r="F43" t="s">
        <v>464</v>
      </c>
      <c r="G43" t="s">
        <v>543</v>
      </c>
      <c r="H43" t="s">
        <v>544</v>
      </c>
      <c r="I43" t="s">
        <v>545</v>
      </c>
      <c r="J43" t="s">
        <v>546</v>
      </c>
      <c r="K43" t="s">
        <v>547</v>
      </c>
      <c r="L43" t="s">
        <v>548</v>
      </c>
      <c r="M43" t="s">
        <v>549</v>
      </c>
      <c r="N43" t="s">
        <v>550</v>
      </c>
    </row>
    <row r="44" spans="1:14">
      <c r="A44" t="s">
        <v>58</v>
      </c>
      <c r="B44" t="s">
        <v>84</v>
      </c>
      <c r="C44" t="s">
        <v>551</v>
      </c>
      <c r="D44" t="s">
        <v>552</v>
      </c>
      <c r="E44" t="s">
        <v>553</v>
      </c>
      <c r="F44" t="s">
        <v>554</v>
      </c>
      <c r="G44" t="s">
        <v>89</v>
      </c>
      <c r="H44" t="s">
        <v>216</v>
      </c>
      <c r="I44" t="s">
        <v>555</v>
      </c>
      <c r="J44" t="s">
        <v>556</v>
      </c>
      <c r="K44" t="s">
        <v>557</v>
      </c>
      <c r="L44" t="s">
        <v>558</v>
      </c>
      <c r="M44" t="s">
        <v>559</v>
      </c>
      <c r="N44" t="s">
        <v>560</v>
      </c>
    </row>
    <row r="45" spans="1:14">
      <c r="A45" t="s">
        <v>59</v>
      </c>
      <c r="B45" t="s">
        <v>313</v>
      </c>
      <c r="C45" t="s">
        <v>561</v>
      </c>
      <c r="D45" t="s">
        <v>562</v>
      </c>
      <c r="E45" t="s">
        <v>563</v>
      </c>
      <c r="F45" t="s">
        <v>564</v>
      </c>
      <c r="G45" t="s">
        <v>565</v>
      </c>
      <c r="H45" t="s">
        <v>566</v>
      </c>
      <c r="I45" t="s">
        <v>567</v>
      </c>
      <c r="J45" t="s">
        <v>568</v>
      </c>
      <c r="K45" t="s">
        <v>569</v>
      </c>
      <c r="L45" t="s">
        <v>570</v>
      </c>
      <c r="M45" t="s">
        <v>571</v>
      </c>
      <c r="N45" t="s">
        <v>572</v>
      </c>
    </row>
    <row r="46" spans="1:14">
      <c r="A46" t="s">
        <v>60</v>
      </c>
      <c r="B46" t="s">
        <v>313</v>
      </c>
      <c r="C46" t="s">
        <v>573</v>
      </c>
      <c r="D46" t="s">
        <v>574</v>
      </c>
      <c r="E46" t="s">
        <v>575</v>
      </c>
      <c r="F46" t="s">
        <v>576</v>
      </c>
      <c r="G46" t="s">
        <v>577</v>
      </c>
      <c r="H46" t="s">
        <v>578</v>
      </c>
      <c r="I46" t="s">
        <v>579</v>
      </c>
      <c r="J46" t="s">
        <v>580</v>
      </c>
      <c r="K46" t="s">
        <v>581</v>
      </c>
      <c r="L46" t="s">
        <v>582</v>
      </c>
      <c r="M46" t="s">
        <v>583</v>
      </c>
      <c r="N46" t="s">
        <v>584</v>
      </c>
    </row>
    <row r="47" spans="1:14">
      <c r="A47" t="s">
        <v>61</v>
      </c>
      <c r="B47" t="s">
        <v>313</v>
      </c>
      <c r="C47" t="s">
        <v>585</v>
      </c>
      <c r="D47" t="s">
        <v>586</v>
      </c>
      <c r="E47" t="s">
        <v>587</v>
      </c>
      <c r="F47" t="s">
        <v>588</v>
      </c>
      <c r="G47" t="s">
        <v>102</v>
      </c>
      <c r="H47" t="s">
        <v>589</v>
      </c>
      <c r="I47" t="s">
        <v>590</v>
      </c>
      <c r="J47" t="s">
        <v>591</v>
      </c>
      <c r="K47" t="s">
        <v>592</v>
      </c>
      <c r="L47" t="s">
        <v>593</v>
      </c>
      <c r="M47" t="s">
        <v>594</v>
      </c>
      <c r="N47" t="s">
        <v>595</v>
      </c>
    </row>
    <row r="48" spans="1:14">
      <c r="A48" t="s">
        <v>62</v>
      </c>
      <c r="B48" t="s">
        <v>596</v>
      </c>
      <c r="C48" t="s">
        <v>597</v>
      </c>
      <c r="D48" t="s">
        <v>474</v>
      </c>
      <c r="E48" t="s">
        <v>598</v>
      </c>
      <c r="F48" t="s">
        <v>599</v>
      </c>
      <c r="G48" t="s">
        <v>600</v>
      </c>
      <c r="H48" t="s">
        <v>601</v>
      </c>
      <c r="I48" t="s">
        <v>602</v>
      </c>
      <c r="J48" t="s">
        <v>603</v>
      </c>
      <c r="K48" t="s">
        <v>144</v>
      </c>
      <c r="L48" t="s">
        <v>133</v>
      </c>
      <c r="M48" t="s">
        <v>604</v>
      </c>
      <c r="N48" t="s">
        <v>605</v>
      </c>
    </row>
    <row r="49" spans="1:14">
      <c r="A49" t="s">
        <v>63</v>
      </c>
      <c r="B49" t="s">
        <v>288</v>
      </c>
      <c r="C49" t="s">
        <v>606</v>
      </c>
      <c r="D49" t="s">
        <v>607</v>
      </c>
      <c r="E49" t="s">
        <v>608</v>
      </c>
      <c r="F49" t="s">
        <v>291</v>
      </c>
      <c r="G49" t="s">
        <v>292</v>
      </c>
      <c r="H49" t="s">
        <v>293</v>
      </c>
      <c r="I49" t="s">
        <v>78</v>
      </c>
      <c r="J49" t="s">
        <v>331</v>
      </c>
      <c r="K49" t="s">
        <v>296</v>
      </c>
      <c r="L49" t="s">
        <v>609</v>
      </c>
      <c r="M49" t="s">
        <v>610</v>
      </c>
      <c r="N49" t="s">
        <v>611</v>
      </c>
    </row>
    <row r="50" spans="1:14">
      <c r="A50" t="s">
        <v>64</v>
      </c>
      <c r="B50" t="s">
        <v>275</v>
      </c>
      <c r="C50" t="s">
        <v>612</v>
      </c>
      <c r="D50" t="s">
        <v>613</v>
      </c>
      <c r="E50" t="s">
        <v>614</v>
      </c>
      <c r="F50" t="s">
        <v>615</v>
      </c>
      <c r="G50" t="s">
        <v>616</v>
      </c>
      <c r="H50" t="s">
        <v>617</v>
      </c>
      <c r="I50" t="s">
        <v>618</v>
      </c>
      <c r="J50" t="s">
        <v>619</v>
      </c>
      <c r="K50" t="s">
        <v>620</v>
      </c>
      <c r="L50" t="s">
        <v>621</v>
      </c>
      <c r="M50" t="s">
        <v>622</v>
      </c>
      <c r="N50" t="s">
        <v>623</v>
      </c>
    </row>
    <row r="51" spans="1:14">
      <c r="A51" t="s">
        <v>65</v>
      </c>
      <c r="B51" t="s">
        <v>499</v>
      </c>
      <c r="C51" t="s">
        <v>624</v>
      </c>
      <c r="D51" t="s">
        <v>625</v>
      </c>
      <c r="E51" t="s">
        <v>626</v>
      </c>
      <c r="F51" t="s">
        <v>627</v>
      </c>
      <c r="G51" t="s">
        <v>628</v>
      </c>
      <c r="H51" t="s">
        <v>629</v>
      </c>
      <c r="I51" t="s">
        <v>630</v>
      </c>
      <c r="J51" t="s">
        <v>631</v>
      </c>
      <c r="K51" t="s">
        <v>632</v>
      </c>
      <c r="L51" t="s">
        <v>633</v>
      </c>
      <c r="M51" t="s">
        <v>634</v>
      </c>
      <c r="N51" t="s">
        <v>635</v>
      </c>
    </row>
    <row r="53" spans="1:14">
      <c r="D53" s="99"/>
    </row>
  </sheetData>
  <pageMargins left="0.7" right="0.7" top="0.75" bottom="0.75" header="0.3" footer="0.3"/>
  <pageSetup paperSize="9" orientation="portrait" horizontalDpi="75" verticalDpi="7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DEF9-6436-40D8-9E45-A52859861EAD}">
  <sheetPr codeName="Sheet7"/>
  <dimension ref="A1"/>
  <sheetViews>
    <sheetView workbookViewId="0"/>
  </sheetViews>
  <sheetFormatPr defaultRowHeight="14.65"/>
  <cols>
    <col min="1" max="2" width="9.2851562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0A99-9C4E-4F17-A393-B5AC312AD616}">
  <sheetPr codeName="Sheet8">
    <tabColor rgb="FFCCFFCC"/>
  </sheetPr>
  <dimension ref="B3:Q57"/>
  <sheetViews>
    <sheetView showGridLines="0" workbookViewId="0">
      <pane xSplit="3" ySplit="4" topLeftCell="D5" activePane="bottomRight" state="frozen"/>
      <selection pane="bottomRight" activeCell="D5" sqref="D5"/>
      <selection pane="bottomLeft" activeCell="A5" sqref="A5"/>
      <selection pane="topRight" activeCell="D1" sqref="D1"/>
    </sheetView>
  </sheetViews>
  <sheetFormatPr defaultRowHeight="14.65"/>
  <cols>
    <col min="2" max="3" width="20.7109375" customWidth="1"/>
  </cols>
  <sheetData>
    <row r="3" spans="2:17">
      <c r="B3" s="16" t="s">
        <v>636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/>
    </row>
    <row r="4" spans="2:17">
      <c r="B4" s="15" t="s">
        <v>637</v>
      </c>
      <c r="C4" s="11" t="s">
        <v>638</v>
      </c>
      <c r="D4" s="12" t="str">
        <f t="array" ref="D4:O4">ListsMonthShort</f>
        <v>Jan</v>
      </c>
      <c r="E4" s="13" t="str">
        <v>Feb</v>
      </c>
      <c r="F4" s="13" t="str">
        <v>Mar</v>
      </c>
      <c r="G4" s="13" t="str">
        <v>Apr</v>
      </c>
      <c r="H4" s="13" t="str">
        <v>May</v>
      </c>
      <c r="I4" s="13" t="str">
        <v>Jun</v>
      </c>
      <c r="J4" s="13" t="str">
        <v>Jul</v>
      </c>
      <c r="K4" s="13" t="str">
        <v>Aug</v>
      </c>
      <c r="L4" s="13" t="str">
        <v>Sep</v>
      </c>
      <c r="M4" s="13" t="str">
        <v>Oct</v>
      </c>
      <c r="N4" s="13" t="str">
        <v>Nov</v>
      </c>
      <c r="O4" s="14" t="str">
        <v>Dec</v>
      </c>
    </row>
    <row r="5" spans="2:17" ht="15">
      <c r="B5" s="8" t="str">
        <f t="array" ref="B5:B54">ListCity</f>
        <v>Atlanta</v>
      </c>
      <c r="C5" s="3"/>
      <c r="D5" s="3">
        <f>VALUE(SUBSTITUTE(SUBSTITUTE(
  MID(Data1!C2, FIND("H", Data1!C2)+1, FIND("L", Data1!C2)-FIND("H", Data1!C2)-1),
"Ø","0"),
" ",""))</f>
        <v>52</v>
      </c>
      <c r="E5" s="3">
        <f>VALUE(SUBSTITUTE(SUBSTITUTE(
  MID(Data1!D2, FIND("H", Data1!D2)+1, FIND("L", Data1!D2)-FIND("H", Data1!D2)-1),
"Ø","0"),
" ",""))</f>
        <v>57</v>
      </c>
      <c r="F5" s="3">
        <f>VALUE(SUBSTITUTE(SUBSTITUTE(
  MID(Data1!E2, FIND("H", Data1!E2)+1, FIND("L", Data1!E2)-FIND("H", Data1!E2)-1),
"Ø","0"),
" ",""))</f>
        <v>65</v>
      </c>
      <c r="G5" s="3">
        <f>VALUE(SUBSTITUTE(SUBSTITUTE(
  MID(Data1!F2, FIND("H", Data1!F2)+1, FIND("L", Data1!F2)-FIND("H", Data1!F2)-1),
"Ø","0"),
" ",""))</f>
        <v>73</v>
      </c>
      <c r="H5" s="3">
        <f>VALUE(SUBSTITUTE(SUBSTITUTE(
  MID(Data1!G2, FIND("H", Data1!G2)+1, FIND("L", Data1!G2)-FIND("H", Data1!G2)-1),
"Ø","0"),
" ",""))</f>
        <v>80</v>
      </c>
      <c r="I5" s="3">
        <f>VALUE(SUBSTITUTE(SUBSTITUTE(
  MID(Data1!H2, FIND("H", Data1!H2)+1, FIND("L", Data1!H2)-FIND("H", Data1!H2)-1),
"Ø","0"),
" ",""))</f>
        <v>86</v>
      </c>
      <c r="J5" s="3">
        <f>VALUE(SUBSTITUTE(SUBSTITUTE(
  MID(Data1!I2, FIND("H", Data1!I2)+1, FIND("L", Data1!I2)-FIND("H", Data1!I2)-1),
"Ø","0"),
" ",""))</f>
        <v>89</v>
      </c>
      <c r="K5" s="3">
        <f>VALUE(SUBSTITUTE(SUBSTITUTE(
  MID(Data1!J2, FIND("H", Data1!J2)+1, FIND("L", Data1!J2)-FIND("H", Data1!J2)-1),
"Ø","0"),
" ",""))</f>
        <v>88</v>
      </c>
      <c r="L5" s="3">
        <f>VALUE(SUBSTITUTE(SUBSTITUTE(
  MID(Data1!K2, FIND("H", Data1!K2)+1, FIND("L", Data1!K2)-FIND("H", Data1!K2)-1),
"Ø","0"),
" ",""))</f>
        <v>82</v>
      </c>
      <c r="M5" s="3">
        <f>VALUE(SUBSTITUTE(SUBSTITUTE(
  MID(Data1!L2, FIND("H", Data1!L2)+1, FIND("L", Data1!L2)-FIND("H", Data1!L2)-1),
"Ø","0"),
" ",""))</f>
        <v>73</v>
      </c>
      <c r="N5" s="3">
        <f>VALUE(SUBSTITUTE(SUBSTITUTE(
  MID(Data1!M2, FIND("H", Data1!M2)+1, FIND("L", Data1!M2)-FIND("H", Data1!M2)-1),
"Ø","0"),
" ",""))</f>
        <v>64</v>
      </c>
      <c r="O5" s="3">
        <f>VALUE(SUBSTITUTE(SUBSTITUTE(
  MID(Data1!N2, FIND("H", Data1!N2)+1, FIND("L", Data1!N2)-FIND("H", Data1!N2)-1),
"Ø","0"),
" ",""))</f>
        <v>54</v>
      </c>
    </row>
    <row r="6" spans="2:17" ht="15">
      <c r="B6" s="9" t="str">
        <v>Austin</v>
      </c>
      <c r="C6" s="3"/>
      <c r="D6" s="3">
        <f>VALUE(SUBSTITUTE(SUBSTITUTE(
  MID(Data1!C3, FIND("H", Data1!C3)+1, FIND("L", Data1!C3)-FIND("H", Data1!C3)-1),
"Ø","0"),
" ",""))</f>
        <v>62</v>
      </c>
      <c r="E6" s="3">
        <f>VALUE(SUBSTITUTE(SUBSTITUTE(
  MID(Data1!D3, FIND("H", Data1!D3)+1, FIND("L", Data1!D3)-FIND("H", Data1!D3)-1),
"Ø","0"),
" ",""))</f>
        <v>65</v>
      </c>
      <c r="F6" s="3">
        <f>VALUE(SUBSTITUTE(SUBSTITUTE(
  MID(Data1!E3, FIND("H", Data1!E3)+1, FIND("L", Data1!E3)-FIND("H", Data1!E3)-1),
"Ø","0"),
" ",""))</f>
        <v>72</v>
      </c>
      <c r="G6" s="3">
        <f>VALUE(SUBSTITUTE(SUBSTITUTE(
  MID(Data1!F3, FIND("H", Data1!F3)+1, FIND("L", Data1!F3)-FIND("H", Data1!F3)-1),
"Ø","0"),
" ",""))</f>
        <v>80</v>
      </c>
      <c r="H6" s="3">
        <f>VALUE(SUBSTITUTE(SUBSTITUTE(
  MID(Data1!G3, FIND("H", Data1!G3)+1, FIND("L", Data1!G3)-FIND("H", Data1!G3)-1),
"Ø","0"),
" ",""))</f>
        <v>87</v>
      </c>
      <c r="I6" s="3">
        <f>VALUE(SUBSTITUTE(SUBSTITUTE(
  MID(Data1!H3, FIND("H", Data1!H3)+1, FIND("L", Data1!H3)-FIND("H", Data1!H3)-1),
"Ø","0"),
" ",""))</f>
        <v>92</v>
      </c>
      <c r="J6" s="3">
        <f>VALUE(SUBSTITUTE(SUBSTITUTE(
  MID(Data1!I3, FIND("H", Data1!I3)+1, FIND("L", Data1!I3)-FIND("H", Data1!I3)-1),
"Ø","0"),
" ",""))</f>
        <v>96</v>
      </c>
      <c r="K6" s="3">
        <f>VALUE(SUBSTITUTE(SUBSTITUTE(
  MID(Data1!J3, FIND("H", Data1!J3)+1, FIND("L", Data1!J3)-FIND("H", Data1!J3)-1),
"Ø","0"),
" ",""))</f>
        <v>97</v>
      </c>
      <c r="L6" s="3">
        <f>VALUE(SUBSTITUTE(SUBSTITUTE(
  MID(Data1!K3, FIND("H", Data1!K3)+1, FIND("L", Data1!K3)-FIND("H", Data1!K3)-1),
"Ø","0"),
" ",""))</f>
        <v>91</v>
      </c>
      <c r="M6" s="3">
        <f>VALUE(SUBSTITUTE(SUBSTITUTE(
  MID(Data1!L3, FIND("H", Data1!L3)+1, FIND("L", Data1!L3)-FIND("H", Data1!L3)-1),
"Ø","0"),
" ",""))</f>
        <v>82</v>
      </c>
      <c r="N6" s="3">
        <f>VALUE(SUBSTITUTE(SUBSTITUTE(
  MID(Data1!M3, FIND("H", Data1!M3)+1, FIND("L", Data1!M3)-FIND("H", Data1!M3)-1),
"Ø","0"),
" ",""))</f>
        <v>71</v>
      </c>
      <c r="O6" s="3">
        <f>VALUE(SUBSTITUTE(SUBSTITUTE(
  MID(Data1!N3, FIND("H", Data1!N3)+1, FIND("L", Data1!N3)-FIND("H", Data1!N3)-1),
"Ø","0"),
" ",""))</f>
        <v>63</v>
      </c>
      <c r="Q6">
        <f>SUM(L5:O14)</f>
        <v>2506</v>
      </c>
    </row>
    <row r="7" spans="2:17" ht="15">
      <c r="B7" s="9" t="str">
        <v>Baltimore</v>
      </c>
      <c r="C7" s="3"/>
      <c r="D7" s="3">
        <f>VALUE(SUBSTITUTE(SUBSTITUTE(
  MID(Data1!C4, FIND("H", Data1!C4)+1, FIND("L", Data1!C4)-FIND("H", Data1!C4)-1),
"Ø","0"),
" ",""))</f>
        <v>41</v>
      </c>
      <c r="E7" s="3">
        <f>VALUE(SUBSTITUTE(SUBSTITUTE(
  MID(Data1!D4, FIND("H", Data1!D4)+1, FIND("L", Data1!D4)-FIND("H", Data1!D4)-1),
"Ø","0"),
" ",""))</f>
        <v>45</v>
      </c>
      <c r="F7" s="3">
        <f>VALUE(SUBSTITUTE(SUBSTITUTE(
  MID(Data1!E4, FIND("H", Data1!E4)+1, FIND("L", Data1!E4)-FIND("H", Data1!E4)-1),
"Ø","0"),
" ",""))</f>
        <v>54</v>
      </c>
      <c r="G7" s="3">
        <f>VALUE(SUBSTITUTE(SUBSTITUTE(
  MID(Data1!F4, FIND("H", Data1!F4)+1, FIND("L", Data1!F4)-FIND("H", Data1!F4)-1),
"Ø","0"),
" ",""))</f>
        <v>65</v>
      </c>
      <c r="H7" s="3">
        <f>VALUE(SUBSTITUTE(SUBSTITUTE(
  MID(Data1!G4, FIND("H", Data1!G4)+1, FIND("L", Data1!G4)-FIND("H", Data1!G4)-1),
"Ø","0"),
" ",""))</f>
        <v>74</v>
      </c>
      <c r="I7" s="3">
        <f>VALUE(SUBSTITUTE(SUBSTITUTE(
  MID(Data1!H4, FIND("H", Data1!H4)+1, FIND("L", Data1!H4)-FIND("H", Data1!H4)-1),
"Ø","0"),
" ",""))</f>
        <v>83</v>
      </c>
      <c r="J7" s="3">
        <f>VALUE(SUBSTITUTE(SUBSTITUTE(
  MID(Data1!I4, FIND("H", Data1!I4)+1, FIND("L", Data1!I4)-FIND("H", Data1!I4)-1),
"Ø","0"),
" ",""))</f>
        <v>87</v>
      </c>
      <c r="K7" s="3">
        <f>VALUE(SUBSTITUTE(SUBSTITUTE(
  MID(Data1!J4, FIND("H", Data1!J4)+1, FIND("L", Data1!J4)-FIND("H", Data1!J4)-1),
"Ø","0"),
" ",""))</f>
        <v>85</v>
      </c>
      <c r="L7" s="3">
        <f>VALUE(SUBSTITUTE(SUBSTITUTE(
  MID(Data1!K4, FIND("H", Data1!K4)+1, FIND("L", Data1!K4)-FIND("H", Data1!K4)-1),
"Ø","0"),
" ",""))</f>
        <v>78</v>
      </c>
      <c r="M7" s="3">
        <f>VALUE(SUBSTITUTE(SUBSTITUTE(
  MID(Data1!L4, FIND("H", Data1!L4)+1, FIND("L", Data1!L4)-FIND("H", Data1!L4)-1),
"Ø","0"),
" ",""))</f>
        <v>67</v>
      </c>
      <c r="N7" s="3">
        <f>VALUE(SUBSTITUTE(SUBSTITUTE(
  MID(Data1!M4, FIND("H", Data1!M4)+1, FIND("L", Data1!M4)-FIND("H", Data1!M4)-1),
"Ø","0"),
" ",""))</f>
        <v>56</v>
      </c>
      <c r="O7" s="3">
        <f>VALUE(SUBSTITUTE(SUBSTITUTE(
  MID(Data1!N4, FIND("H", Data1!N4)+1, FIND("L", Data1!N4)-FIND("H", Data1!N4)-1),
"Ø","0"),
" ",""))</f>
        <v>45</v>
      </c>
    </row>
    <row r="8" spans="2:17" ht="15">
      <c r="B8" s="9" t="str">
        <v>Birmingham</v>
      </c>
      <c r="C8" s="3"/>
      <c r="D8" s="3">
        <f>VALUE(SUBSTITUTE(SUBSTITUTE(
  MID(Data1!C5, FIND("H", Data1!C5)+1, FIND("L", Data1!C5)-FIND("H", Data1!C5)-1),
"Ø","0"),
" ",""))</f>
        <v>54</v>
      </c>
      <c r="E8" s="3">
        <f>VALUE(SUBSTITUTE(SUBSTITUTE(
  MID(Data1!D5, FIND("H", Data1!D5)+1, FIND("L", Data1!D5)-FIND("H", Data1!D5)-1),
"Ø","0"),
" ",""))</f>
        <v>58</v>
      </c>
      <c r="F8" s="3">
        <f>VALUE(SUBSTITUTE(SUBSTITUTE(
  MID(Data1!E5, FIND("H", Data1!E5)+1, FIND("L", Data1!E5)-FIND("H", Data1!E5)-1),
"Ø","0"),
" ",""))</f>
        <v>67</v>
      </c>
      <c r="G8" s="3">
        <f>VALUE(SUBSTITUTE(SUBSTITUTE(
  MID(Data1!F5, FIND("H", Data1!F5)+1, FIND("L", Data1!F5)-FIND("H", Data1!F5)-1),
"Ø","0"),
" ",""))</f>
        <v>74</v>
      </c>
      <c r="H8" s="3">
        <f>VALUE(SUBSTITUTE(SUBSTITUTE(
  MID(Data1!G5, FIND("H", Data1!G5)+1, FIND("L", Data1!G5)-FIND("H", Data1!G5)-1),
"Ø","0"),
" ",""))</f>
        <v>82</v>
      </c>
      <c r="I8" s="3">
        <f>VALUE(SUBSTITUTE(SUBSTITUTE(
  MID(Data1!H5, FIND("H", Data1!H5)+1, FIND("L", Data1!H5)-FIND("H", Data1!H5)-1),
"Ø","0"),
" ",""))</f>
        <v>88</v>
      </c>
      <c r="J8" s="3">
        <f>VALUE(SUBSTITUTE(SUBSTITUTE(
  MID(Data1!I5, FIND("H", Data1!I5)+1, FIND("L", Data1!I5)-FIND("H", Data1!I5)-1),
"Ø","0"),
" ",""))</f>
        <v>91</v>
      </c>
      <c r="K8" s="3">
        <f>VALUE(SUBSTITUTE(SUBSTITUTE(
  MID(Data1!J5, FIND("H", Data1!J5)+1, FIND("L", Data1!J5)-FIND("H", Data1!J5)-1),
"Ø","0"),
" ",""))</f>
        <v>91</v>
      </c>
      <c r="L8" s="3">
        <f>VALUE(SUBSTITUTE(SUBSTITUTE(
  MID(Data1!K5, FIND("H", Data1!K5)+1, FIND("L", Data1!K5)-FIND("H", Data1!K5)-1),
"Ø","0"),
" ",""))</f>
        <v>85</v>
      </c>
      <c r="M8" s="3">
        <f>VALUE(SUBSTITUTE(SUBSTITUTE(
  MID(Data1!L5, FIND("H", Data1!L5)+1, FIND("L", Data1!L5)-FIND("H", Data1!L5)-1),
"Ø","0"),
" ",""))</f>
        <v>75</v>
      </c>
      <c r="N8" s="3">
        <f>VALUE(SUBSTITUTE(SUBSTITUTE(
  MID(Data1!M5, FIND("H", Data1!M5)+1, FIND("L", Data1!M5)-FIND("H", Data1!M5)-1),
"Ø","0"),
" ",""))</f>
        <v>65</v>
      </c>
      <c r="O8" s="3">
        <f>VALUE(SUBSTITUTE(SUBSTITUTE(
  MID(Data1!N5, FIND("H", Data1!N5)+1, FIND("L", Data1!N5)-FIND("H", Data1!N5)-1),
"Ø","0"),
" ",""))</f>
        <v>56</v>
      </c>
    </row>
    <row r="9" spans="2:17" ht="15">
      <c r="B9" s="9" t="str">
        <v>Boston</v>
      </c>
      <c r="C9" s="3"/>
      <c r="D9" s="3">
        <f>VALUE(SUBSTITUTE(SUBSTITUTE(
  MID(Data1!C6, FIND("H", Data1!C6)+1, FIND("L", Data1!C6)-FIND("H", Data1!C6)-1),
"Ø","0"),
" ",""))</f>
        <v>36</v>
      </c>
      <c r="E9" s="3">
        <f>VALUE(SUBSTITUTE(SUBSTITUTE(
  MID(Data1!D6, FIND("H", Data1!D6)+1, FIND("L", Data1!D6)-FIND("H", Data1!D6)-1),
"Ø","0"),
" ",""))</f>
        <v>39</v>
      </c>
      <c r="F9" s="3">
        <f>VALUE(SUBSTITUTE(SUBSTITUTE(
  MID(Data1!E6, FIND("H", Data1!E6)+1, FIND("L", Data1!E6)-FIND("H", Data1!E6)-1),
"Ø","0"),
" ",""))</f>
        <v>45</v>
      </c>
      <c r="G9" s="3">
        <f>VALUE(SUBSTITUTE(SUBSTITUTE(
  MID(Data1!F6, FIND("H", Data1!F6)+1, FIND("L", Data1!F6)-FIND("H", Data1!F6)-1),
"Ø","0"),
" ",""))</f>
        <v>56</v>
      </c>
      <c r="H9" s="3">
        <f>VALUE(SUBSTITUTE(SUBSTITUTE(
  MID(Data1!G6, FIND("H", Data1!G6)+1, FIND("L", Data1!G6)-FIND("H", Data1!G6)-1),
"Ø","0"),
" ",""))</f>
        <v>66</v>
      </c>
      <c r="I9" s="3">
        <f>VALUE(SUBSTITUTE(SUBSTITUTE(
  MID(Data1!H6, FIND("H", Data1!H6)+1, FIND("L", Data1!H6)-FIND("H", Data1!H6)-1),
"Ø","0"),
" ",""))</f>
        <v>76</v>
      </c>
      <c r="J9" s="3">
        <f>VALUE(SUBSTITUTE(SUBSTITUTE(
  MID(Data1!I6, FIND("H", Data1!I6)+1, FIND("L", Data1!I6)-FIND("H", Data1!I6)-1),
"Ø","0"),
" ",""))</f>
        <v>81</v>
      </c>
      <c r="K9" s="3">
        <f>VALUE(SUBSTITUTE(SUBSTITUTE(
  MID(Data1!J6, FIND("H", Data1!J6)+1, FIND("L", Data1!J6)-FIND("H", Data1!J6)-1),
"Ø","0"),
" ",""))</f>
        <v>80</v>
      </c>
      <c r="L9" s="3">
        <f>VALUE(SUBSTITUTE(SUBSTITUTE(
  MID(Data1!K6, FIND("H", Data1!K6)+1, FIND("L", Data1!K6)-FIND("H", Data1!K6)-1),
"Ø","0"),
" ",""))</f>
        <v>72</v>
      </c>
      <c r="M9" s="3">
        <f>VALUE(SUBSTITUTE(SUBSTITUTE(
  MID(Data1!L6, FIND("H", Data1!L6)+1, FIND("L", Data1!L6)-FIND("H", Data1!L6)-1),
"Ø","0"),
" ",""))</f>
        <v>61</v>
      </c>
      <c r="N9" s="3">
        <f>VALUE(SUBSTITUTE(SUBSTITUTE(
  MID(Data1!M6, FIND("H", Data1!M6)+1, FIND("L", Data1!M6)-FIND("H", Data1!M6)-1),
"Ø","0"),
" ",""))</f>
        <v>52</v>
      </c>
      <c r="O9" s="3">
        <f>VALUE(SUBSTITUTE(SUBSTITUTE(
  MID(Data1!N6, FIND("H", Data1!N6)+1, FIND("L", Data1!N6)-FIND("H", Data1!N6)-1),
"Ø","0"),
" ",""))</f>
        <v>41</v>
      </c>
    </row>
    <row r="10" spans="2:17" ht="15">
      <c r="B10" s="9" t="str">
        <v>Buffalo</v>
      </c>
      <c r="C10" s="3"/>
      <c r="D10" s="3">
        <f>VALUE(SUBSTITUTE(SUBSTITUTE(
  MID(Data1!C7, FIND("H", Data1!C7)+1, FIND("L", Data1!C7)-FIND("H", Data1!C7)-1),
"Ø","0"),
" ",""))</f>
        <v>31</v>
      </c>
      <c r="E10" s="3">
        <f>VALUE(SUBSTITUTE(SUBSTITUTE(
  MID(Data1!D7, FIND("H", Data1!D7)+1, FIND("L", Data1!D7)-FIND("H", Data1!D7)-1),
"Ø","0"),
" ",""))</f>
        <v>33</v>
      </c>
      <c r="F10" s="3">
        <f>VALUE(SUBSTITUTE(SUBSTITUTE(
  MID(Data1!E7, FIND("H", Data1!E7)+1, FIND("L", Data1!E7)-FIND("H", Data1!E7)-1),
"Ø","0"),
" ",""))</f>
        <v>42</v>
      </c>
      <c r="G10" s="3">
        <f>VALUE(SUBSTITUTE(SUBSTITUTE(
  MID(Data1!F7, FIND("H", Data1!F7)+1, FIND("L", Data1!F7)-FIND("H", Data1!F7)-1),
"Ø","0"),
" ",""))</f>
        <v>55</v>
      </c>
      <c r="H10" s="3">
        <f>VALUE(SUBSTITUTE(SUBSTITUTE(
  MID(Data1!G7, FIND("H", Data1!G7)+1, FIND("L", Data1!G7)-FIND("H", Data1!G7)-1),
"Ø","0"),
" ",""))</f>
        <v>67</v>
      </c>
      <c r="I10" s="3">
        <f>VALUE(SUBSTITUTE(SUBSTITUTE(
  MID(Data1!H7, FIND("H", Data1!H7)+1, FIND("L", Data1!H7)-FIND("H", Data1!H7)-1),
"Ø","0"),
" ",""))</f>
        <v>75</v>
      </c>
      <c r="J10" s="3">
        <f>VALUE(SUBSTITUTE(SUBSTITUTE(
  MID(Data1!I7, FIND("H", Data1!I7)+1, FIND("L", Data1!I7)-FIND("H", Data1!I7)-1),
"Ø","0"),
" ",""))</f>
        <v>80</v>
      </c>
      <c r="K10" s="3">
        <f>VALUE(SUBSTITUTE(SUBSTITUTE(
  MID(Data1!J7, FIND("H", Data1!J7)+1, FIND("L", Data1!J7)-FIND("H", Data1!J7)-1),
"Ø","0"),
" ",""))</f>
        <v>78</v>
      </c>
      <c r="L10" s="3">
        <f>VALUE(SUBSTITUTE(SUBSTITUTE(
  MID(Data1!K7, FIND("H", Data1!K7)+1, FIND("L", Data1!K7)-FIND("H", Data1!K7)-1),
"Ø","0"),
" ",""))</f>
        <v>71</v>
      </c>
      <c r="M10" s="3">
        <f>VALUE(SUBSTITUTE(SUBSTITUTE(
  MID(Data1!L7, FIND("H", Data1!L7)+1, FIND("L", Data1!L7)-FIND("H", Data1!L7)-1),
"Ø","0"),
" ",""))</f>
        <v>59</v>
      </c>
      <c r="N10" s="3">
        <f>VALUE(SUBSTITUTE(SUBSTITUTE(
  MID(Data1!M7, FIND("H", Data1!M7)+1, FIND("L", Data1!M7)-FIND("H", Data1!M7)-1),
"Ø","0"),
" ",""))</f>
        <v>48</v>
      </c>
      <c r="O10" s="3">
        <f>VALUE(SUBSTITUTE(SUBSTITUTE(
  MID(Data1!N7, FIND("H", Data1!N7)+1, FIND("L", Data1!N7)-FIND("H", Data1!N7)-1),
"Ø","0"),
" ",""))</f>
        <v>36</v>
      </c>
    </row>
    <row r="11" spans="2:17" ht="15">
      <c r="B11" s="9" t="str">
        <v>Charlotte</v>
      </c>
      <c r="C11" s="3"/>
      <c r="D11" s="3">
        <f>VALUE(SUBSTITUTE(SUBSTITUTE(
  MID(Data1!C8, FIND("H", Data1!C8)+1, FIND("L", Data1!C8)-FIND("H", Data1!C8)-1),
"Ø","0"),
" ",""))</f>
        <v>51</v>
      </c>
      <c r="E11" s="3">
        <f>VALUE(SUBSTITUTE(SUBSTITUTE(
  MID(Data1!D8, FIND("H", Data1!D8)+1, FIND("L", Data1!D8)-FIND("H", Data1!D8)-1),
"Ø","0"),
" ",""))</f>
        <v>55</v>
      </c>
      <c r="F11" s="3">
        <f>VALUE(SUBSTITUTE(SUBSTITUTE(
  MID(Data1!E8, FIND("H", Data1!E8)+1, FIND("L", Data1!E8)-FIND("H", Data1!E8)-1),
"Ø","0"),
" ",""))</f>
        <v>63</v>
      </c>
      <c r="G11" s="3">
        <f>VALUE(SUBSTITUTE(SUBSTITUTE(
  MID(Data1!F8, FIND("H", Data1!F8)+1, FIND("L", Data1!F8)-FIND("H", Data1!F8)-1),
"Ø","0"),
" ",""))</f>
        <v>72</v>
      </c>
      <c r="H11" s="3">
        <f>VALUE(SUBSTITUTE(SUBSTITUTE(
  MID(Data1!G8, FIND("H", Data1!G8)+1, FIND("L", Data1!G8)-FIND("H", Data1!G8)-1),
"Ø","0"),
" ",""))</f>
        <v>79</v>
      </c>
      <c r="I11" s="3">
        <f>VALUE(SUBSTITUTE(SUBSTITUTE(
  MID(Data1!H8, FIND("H", Data1!H8)+1, FIND("L", Data1!H8)-FIND("H", Data1!H8)-1),
"Ø","0"),
" ",""))</f>
        <v>86</v>
      </c>
      <c r="J11" s="3">
        <f>VALUE(SUBSTITUTE(SUBSTITUTE(
  MID(Data1!I8, FIND("H", Data1!I8)+1, FIND("L", Data1!I8)-FIND("H", Data1!I8)-1),
"Ø","0"),
" ",""))</f>
        <v>89</v>
      </c>
      <c r="K11" s="3">
        <f>VALUE(SUBSTITUTE(SUBSTITUTE(
  MID(Data1!J8, FIND("H", Data1!J8)+1, FIND("L", Data1!J8)-FIND("H", Data1!J8)-1),
"Ø","0"),
" ",""))</f>
        <v>88</v>
      </c>
      <c r="L11" s="3">
        <f>VALUE(SUBSTITUTE(SUBSTITUTE(
  MID(Data1!K8, FIND("H", Data1!K8)+1, FIND("L", Data1!K8)-FIND("H", Data1!K8)-1),
"Ø","0"),
" ",""))</f>
        <v>81</v>
      </c>
      <c r="M11" s="3">
        <f>VALUE(SUBSTITUTE(SUBSTITUTE(
  MID(Data1!L8, FIND("H", Data1!L8)+1, FIND("L", Data1!L8)-FIND("H", Data1!L8)-1),
"Ø","0"),
" ",""))</f>
        <v>72</v>
      </c>
      <c r="N11" s="3">
        <f>VALUE(SUBSTITUTE(SUBSTITUTE(
  MID(Data1!M8, FIND("H", Data1!M8)+1, FIND("L", Data1!M8)-FIND("H", Data1!M8)-1),
"Ø","0"),
" ",""))</f>
        <v>62</v>
      </c>
      <c r="O11" s="3">
        <f>VALUE(SUBSTITUTE(SUBSTITUTE(
  MID(Data1!N8, FIND("H", Data1!N8)+1, FIND("L", Data1!N8)-FIND("H", Data1!N8)-1),
"Ø","0"),
" ",""))</f>
        <v>53</v>
      </c>
    </row>
    <row r="12" spans="2:17">
      <c r="B12" s="9" t="str">
        <v>Chicago</v>
      </c>
      <c r="C12" s="3"/>
      <c r="D12" s="3">
        <f>VALUE(SUBSTITUTE(SUBSTITUTE(
  MID(Data1!C9, FIND("H", Data1!C9)+1, FIND("L", Data1!C9)-FIND("H", Data1!C9)-1),
"Ø","0"),
" ",""))</f>
        <v>31</v>
      </c>
      <c r="E12" s="3">
        <f>VALUE(SUBSTITUTE(SUBSTITUTE(
  MID(Data1!D9, FIND("H", Data1!D9)+1, FIND("L", Data1!D9)-FIND("H", Data1!D9)-1),
"Ø","0"),
" ",""))</f>
        <v>35</v>
      </c>
      <c r="F12" s="3">
        <f>VALUE(SUBSTITUTE(SUBSTITUTE(
  MID(Data1!E9, FIND("H", Data1!E9)+1, FIND("L", Data1!E9)-FIND("H", Data1!E9)-1),
"Ø","0"),
" ",""))</f>
        <v>47</v>
      </c>
      <c r="G12" s="3">
        <f>VALUE(SUBSTITUTE(SUBSTITUTE(
  MID(Data1!F9, FIND("H", Data1!F9)+1, FIND("L", Data1!F9)-FIND("H", Data1!F9)-1),
"Ø","0"),
" ",""))</f>
        <v>59</v>
      </c>
      <c r="H12" s="3">
        <f>VALUE(SUBSTITUTE(SUBSTITUTE(
  MID(Data1!G9, FIND("H", Data1!G9)+1, FIND("L", Data1!G9)-FIND("H", Data1!G9)-1),
"Ø","0"),
" ",""))</f>
        <v>70</v>
      </c>
      <c r="I12" s="3">
        <f>VALUE(SUBSTITUTE(SUBSTITUTE(
  MID(Data1!H9, FIND("H", Data1!H9)+1, FIND("L", Data1!H9)-FIND("H", Data1!H9)-1),
"Ø","0"),
" ",""))</f>
        <v>80</v>
      </c>
      <c r="J12" s="3">
        <f>VALUE(SUBSTITUTE(SUBSTITUTE(
  MID(Data1!I9, FIND("H", Data1!I9)+1, FIND("L", Data1!I9)-FIND("H", Data1!I9)-1),
"Ø","0"),
" ",""))</f>
        <v>84</v>
      </c>
      <c r="K12" s="3">
        <f>VALUE(SUBSTITUTE(SUBSTITUTE(
  MID(Data1!J9, FIND("H", Data1!J9)+1, FIND("L", Data1!J9)-FIND("H", Data1!J9)-1),
"Ø","0"),
" ",""))</f>
        <v>82</v>
      </c>
      <c r="L12" s="3">
        <f>VALUE(SUBSTITUTE(SUBSTITUTE(
  MID(Data1!K9, FIND("H", Data1!K9)+1, FIND("L", Data1!K9)-FIND("H", Data1!K9)-1),
"Ø","0"),
" ",""))</f>
        <v>75</v>
      </c>
      <c r="M12" s="3">
        <f>VALUE(SUBSTITUTE(SUBSTITUTE(
  MID(Data1!L9, FIND("H", Data1!L9)+1, FIND("L", Data1!L9)-FIND("H", Data1!L9)-1),
"Ø","0"),
" ",""))</f>
        <v>62</v>
      </c>
      <c r="N12" s="3">
        <f>VALUE(SUBSTITUTE(SUBSTITUTE(
  MID(Data1!M9, FIND("H", Data1!M9)+1, FIND("L", Data1!M9)-FIND("H", Data1!M9)-1),
"Ø","0"),
" ",""))</f>
        <v>48</v>
      </c>
      <c r="O12" s="3">
        <f>VALUE(SUBSTITUTE(SUBSTITUTE(
  MID(Data1!N9, FIND("H", Data1!N9)+1, FIND("L", Data1!N9)-FIND("H", Data1!N9)-1),
"Ø","0"),
" ",""))</f>
        <v>35</v>
      </c>
    </row>
    <row r="13" spans="2:17">
      <c r="B13" s="9" t="str">
        <v>Cincinnati</v>
      </c>
      <c r="C13" s="3"/>
      <c r="D13" s="3">
        <f>VALUE(SUBSTITUTE(SUBSTITUTE(
  MID(Data1!C10, FIND("H", Data1!C10)+1, FIND("L", Data1!C10)-FIND("H", Data1!C10)-1),
"Ø","0"),
" ",""))</f>
        <v>40</v>
      </c>
      <c r="E13" s="3">
        <f>VALUE(SUBSTITUTE(SUBSTITUTE(
  MID(Data1!D10, FIND("H", Data1!D10)+1, FIND("L", Data1!D10)-FIND("H", Data1!D10)-1),
"Ø","0"),
" ",""))</f>
        <v>45</v>
      </c>
      <c r="F13" s="3">
        <f>VALUE(SUBSTITUTE(SUBSTITUTE(
  MID(Data1!E10, FIND("H", Data1!E10)+1, FIND("L", Data1!E10)-FIND("H", Data1!E10)-1),
"Ø","0"),
" ",""))</f>
        <v>55</v>
      </c>
      <c r="G13" s="3">
        <f>VALUE(SUBSTITUTE(SUBSTITUTE(
  MID(Data1!F10, FIND("H", Data1!F10)+1, FIND("L", Data1!F10)-FIND("H", Data1!F10)-1),
"Ø","0"),
" ",""))</f>
        <v>66</v>
      </c>
      <c r="H13" s="3">
        <f>VALUE(SUBSTITUTE(SUBSTITUTE(
  MID(Data1!G10, FIND("H", Data1!G10)+1, FIND("L", Data1!G10)-FIND("H", Data1!G10)-1),
"Ø","0"),
" ",""))</f>
        <v>75</v>
      </c>
      <c r="I13" s="3">
        <f>VALUE(SUBSTITUTE(SUBSTITUTE(
  MID(Data1!H10, FIND("H", Data1!H10)+1, FIND("L", Data1!H10)-FIND("H", Data1!H10)-1),
"Ø","0"),
" ",""))</f>
        <v>83</v>
      </c>
      <c r="J13" s="3">
        <f>VALUE(SUBSTITUTE(SUBSTITUTE(
  MID(Data1!I10, FIND("H", Data1!I10)+1, FIND("L", Data1!I10)-FIND("H", Data1!I10)-1),
"Ø","0"),
" ",""))</f>
        <v>87</v>
      </c>
      <c r="K13" s="3">
        <f>VALUE(SUBSTITUTE(SUBSTITUTE(
  MID(Data1!J10, FIND("H", Data1!J10)+1, FIND("L", Data1!J10)-FIND("H", Data1!J10)-1),
"Ø","0"),
" ",""))</f>
        <v>86</v>
      </c>
      <c r="L13" s="3">
        <f>VALUE(SUBSTITUTE(SUBSTITUTE(
  MID(Data1!K10, FIND("H", Data1!K10)+1, FIND("L", Data1!K10)-FIND("H", Data1!K10)-1),
"Ø","0"),
" ",""))</f>
        <v>79</v>
      </c>
      <c r="M13" s="3">
        <f>VALUE(SUBSTITUTE(SUBSTITUTE(
  MID(Data1!L10, FIND("H", Data1!L10)+1, FIND("L", Data1!L10)-FIND("H", Data1!L10)-1),
"Ø","0"),
" ",""))</f>
        <v>68</v>
      </c>
      <c r="N13" s="3">
        <f>VALUE(SUBSTITUTE(SUBSTITUTE(
  MID(Data1!M10, FIND("H", Data1!M10)+1, FIND("L", Data1!M10)-FIND("H", Data1!M10)-1),
"Ø","0"),
" ",""))</f>
        <v>56</v>
      </c>
      <c r="O13" s="3">
        <f>VALUE(SUBSTITUTE(SUBSTITUTE(
  MID(Data1!N10, FIND("H", Data1!N10)+1, FIND("L", Data1!N10)-FIND("H", Data1!N10)-1),
"Ø","0"),
" ",""))</f>
        <v>43</v>
      </c>
    </row>
    <row r="14" spans="2:17">
      <c r="B14" s="9" t="str">
        <v>Cleveland</v>
      </c>
      <c r="C14" s="3"/>
      <c r="D14" s="3">
        <f>VALUE(SUBSTITUTE(SUBSTITUTE(
  MID(Data1!C11, FIND("H", Data1!C11)+1, FIND("L", Data1!C11)-FIND("H", Data1!C11)-1),
"Ø","0"),
" ",""))</f>
        <v>34</v>
      </c>
      <c r="E14" s="3">
        <f>VALUE(SUBSTITUTE(SUBSTITUTE(
  MID(Data1!D11, FIND("H", Data1!D11)+1, FIND("L", Data1!D11)-FIND("H", Data1!D11)-1),
"Ø","0"),
" ",""))</f>
        <v>38</v>
      </c>
      <c r="F14" s="3">
        <f>VALUE(SUBSTITUTE(SUBSTITUTE(
  MID(Data1!E11, FIND("H", Data1!E11)+1, FIND("L", Data1!E11)-FIND("H", Data1!E11)-1),
"Ø","0"),
" ",""))</f>
        <v>47</v>
      </c>
      <c r="G14" s="3">
        <f>VALUE(SUBSTITUTE(SUBSTITUTE(
  MID(Data1!F11, FIND("H", Data1!F11)+1, FIND("L", Data1!F11)-FIND("H", Data1!F11)-1),
"Ø","0"),
" ",""))</f>
        <v>59</v>
      </c>
      <c r="H14" s="3">
        <f>VALUE(SUBSTITUTE(SUBSTITUTE(
  MID(Data1!G11, FIND("H", Data1!G11)+1, FIND("L", Data1!G11)-FIND("H", Data1!G11)-1),
"Ø","0"),
" ",""))</f>
        <v>70</v>
      </c>
      <c r="I14" s="3">
        <f>VALUE(SUBSTITUTE(SUBSTITUTE(
  MID(Data1!H11, FIND("H", Data1!H11)+1, FIND("L", Data1!H11)-FIND("H", Data1!H11)-1),
"Ø","0"),
" ",""))</f>
        <v>79</v>
      </c>
      <c r="J14" s="3">
        <f>VALUE(SUBSTITUTE(SUBSTITUTE(
  MID(Data1!I11, FIND("H", Data1!I11)+1, FIND("L", Data1!I11)-FIND("H", Data1!I11)-1),
"Ø","0"),
" ",""))</f>
        <v>83</v>
      </c>
      <c r="K14" s="3">
        <f>VALUE(SUBSTITUTE(SUBSTITUTE(
  MID(Data1!J11, FIND("H", Data1!J11)+1, FIND("L", Data1!J11)-FIND("H", Data1!J11)-1),
"Ø","0"),
" ",""))</f>
        <v>81</v>
      </c>
      <c r="L14" s="3">
        <f>VALUE(SUBSTITUTE(SUBSTITUTE(
  MID(Data1!K11, FIND("H", Data1!K11)+1, FIND("L", Data1!K11)-FIND("H", Data1!K11)-1),
"Ø","0"),
" ",""))</f>
        <v>74</v>
      </c>
      <c r="M14" s="3">
        <f>VALUE(SUBSTITUTE(SUBSTITUTE(
  MID(Data1!L11, FIND("H", Data1!L11)+1, FIND("L", Data1!L11)-FIND("H", Data1!L11)-1),
"Ø","0"),
" ",""))</f>
        <v>62</v>
      </c>
      <c r="N14" s="3">
        <f>VALUE(SUBSTITUTE(SUBSTITUTE(
  MID(Data1!M11, FIND("H", Data1!M11)+1, FIND("L", Data1!M11)-FIND("H", Data1!M11)-1),
"Ø","0"),
" ",""))</f>
        <v>51</v>
      </c>
      <c r="O14" s="3">
        <f>VALUE(SUBSTITUTE(SUBSTITUTE(
  MID(Data1!N11, FIND("H", Data1!N11)+1, FIND("L", Data1!N11)-FIND("H", Data1!N11)-1),
"Ø","0"),
" ",""))</f>
        <v>38</v>
      </c>
    </row>
    <row r="15" spans="2:17">
      <c r="B15" s="9" t="str">
        <v>Columbus</v>
      </c>
      <c r="C15" s="3"/>
      <c r="D15" s="3">
        <f>VALUE(SUBSTITUTE(SUBSTITUTE(
  MID(Data1!C12, FIND("H", Data1!C12)+1, FIND("L", Data1!C12)-FIND("H", Data1!C12)-1),
"Ø","0"),
" ",""))</f>
        <v>37</v>
      </c>
      <c r="E15" s="3">
        <f>VALUE(SUBSTITUTE(SUBSTITUTE(
  MID(Data1!D12, FIND("H", Data1!D12)+1, FIND("L", Data1!D12)-FIND("H", Data1!D12)-1),
"Ø","0"),
" ",""))</f>
        <v>41</v>
      </c>
      <c r="F15" s="3">
        <f>VALUE(SUBSTITUTE(SUBSTITUTE(
  MID(Data1!E12, FIND("H", Data1!E12)+1, FIND("L", Data1!E12)-FIND("H", Data1!E12)-1),
"Ø","0"),
" ",""))</f>
        <v>51</v>
      </c>
      <c r="G15" s="3">
        <f>VALUE(SUBSTITUTE(SUBSTITUTE(
  MID(Data1!F12, FIND("H", Data1!F12)+1, FIND("L", Data1!F12)-FIND("H", Data1!F12)-1),
"Ø","0"),
" ",""))</f>
        <v>64</v>
      </c>
      <c r="H15" s="3">
        <f>VALUE(SUBSTITUTE(SUBSTITUTE(
  MID(Data1!G12, FIND("H", Data1!G12)+1, FIND("L", Data1!G12)-FIND("H", Data1!G12)-1),
"Ø","0"),
" ",""))</f>
        <v>73</v>
      </c>
      <c r="I15" s="3">
        <f>VALUE(SUBSTITUTE(SUBSTITUTE(
  MID(Data1!H12, FIND("H", Data1!H12)+1, FIND("L", Data1!H12)-FIND("H", Data1!H12)-1),
"Ø","0"),
" ",""))</f>
        <v>82</v>
      </c>
      <c r="J15" s="3">
        <f>VALUE(SUBSTITUTE(SUBSTITUTE(
  MID(Data1!I12, FIND("H", Data1!I12)+1, FIND("L", Data1!I12)-FIND("H", Data1!I12)-1),
"Ø","0"),
" ",""))</f>
        <v>85</v>
      </c>
      <c r="K15" s="3">
        <f>VALUE(SUBSTITUTE(SUBSTITUTE(
  MID(Data1!J12, FIND("H", Data1!J12)+1, FIND("L", Data1!J12)-FIND("H", Data1!J12)-1),
"Ø","0"),
" ",""))</f>
        <v>84</v>
      </c>
      <c r="L15" s="3">
        <f>VALUE(SUBSTITUTE(SUBSTITUTE(
  MID(Data1!K12, FIND("H", Data1!K12)+1, FIND("L", Data1!K12)-FIND("H", Data1!K12)-1),
"Ø","0"),
" ",""))</f>
        <v>77</v>
      </c>
      <c r="M15" s="3">
        <f>VALUE(SUBSTITUTE(SUBSTITUTE(
  MID(Data1!L12, FIND("H", Data1!L12)+1, FIND("L", Data1!L12)-FIND("H", Data1!L12)-1),
"Ø","0"),
" ",""))</f>
        <v>65</v>
      </c>
      <c r="N15" s="3">
        <f>VALUE(SUBSTITUTE(SUBSTITUTE(
  MID(Data1!M12, FIND("H", Data1!M12)+1, FIND("L", Data1!M12)-FIND("H", Data1!M12)-1),
"Ø","0"),
" ",""))</f>
        <v>53</v>
      </c>
      <c r="O15" s="3">
        <f>VALUE(SUBSTITUTE(SUBSTITUTE(
  MID(Data1!N12, FIND("H", Data1!N12)+1, FIND("L", Data1!N12)-FIND("H", Data1!N12)-1),
"Ø","0"),
" ",""))</f>
        <v>40</v>
      </c>
    </row>
    <row r="16" spans="2:17">
      <c r="B16" s="9" t="str">
        <v>Dallas</v>
      </c>
      <c r="C16" s="3"/>
      <c r="D16" s="3">
        <f>VALUE(SUBSTITUTE(SUBSTITUTE(
  MID(Data1!C13, FIND("H", Data1!C13)+1, FIND("L", Data1!C13)-FIND("H", Data1!C13)-1),
"Ø","0"),
" ",""))</f>
        <v>57</v>
      </c>
      <c r="E16" s="3">
        <f>VALUE(SUBSTITUTE(SUBSTITUTE(
  MID(Data1!D13, FIND("H", Data1!D13)+1, FIND("L", Data1!D13)-FIND("H", Data1!D13)-1),
"Ø","0"),
" ",""))</f>
        <v>61</v>
      </c>
      <c r="F16" s="3">
        <f>VALUE(SUBSTITUTE(SUBSTITUTE(
  MID(Data1!E13, FIND("H", Data1!E13)+1, FIND("L", Data1!E13)-FIND("H", Data1!E13)-1),
"Ø","0"),
" ",""))</f>
        <v>69</v>
      </c>
      <c r="G16" s="3">
        <f>VALUE(SUBSTITUTE(SUBSTITUTE(
  MID(Data1!F13, FIND("H", Data1!F13)+1, FIND("L", Data1!F13)-FIND("H", Data1!F13)-1),
"Ø","0"),
" ",""))</f>
        <v>77</v>
      </c>
      <c r="H16" s="3">
        <f>VALUE(SUBSTITUTE(SUBSTITUTE(
  MID(Data1!G13, FIND("H", Data1!G13)+1, FIND("L", Data1!G13)-FIND("H", Data1!G13)-1),
"Ø","0"),
" ",""))</f>
        <v>84</v>
      </c>
      <c r="I16" s="3">
        <f>VALUE(SUBSTITUTE(SUBSTITUTE(
  MID(Data1!H13, FIND("H", Data1!H13)+1, FIND("L", Data1!H13)-FIND("H", Data1!H13)-1),
"Ø","0"),
" ",""))</f>
        <v>92</v>
      </c>
      <c r="J16" s="3">
        <f>VALUE(SUBSTITUTE(SUBSTITUTE(
  MID(Data1!I13, FIND("H", Data1!I13)+1, FIND("L", Data1!I13)-FIND("H", Data1!I13)-1),
"Ø","0"),
" ",""))</f>
        <v>96</v>
      </c>
      <c r="K16" s="3">
        <f>VALUE(SUBSTITUTE(SUBSTITUTE(
  MID(Data1!J13, FIND("H", Data1!J13)+1, FIND("L", Data1!J13)-FIND("H", Data1!J13)-1),
"Ø","0"),
" ",""))</f>
        <v>96</v>
      </c>
      <c r="L16" s="3">
        <f>VALUE(SUBSTITUTE(SUBSTITUTE(
  MID(Data1!K13, FIND("H", Data1!K13)+1, FIND("L", Data1!K13)-FIND("H", Data1!K13)-1),
"Ø","0"),
" ",""))</f>
        <v>89</v>
      </c>
      <c r="M16" s="3">
        <f>VALUE(SUBSTITUTE(SUBSTITUTE(
  MID(Data1!L13, FIND("H", Data1!L13)+1, FIND("L", Data1!L13)-FIND("H", Data1!L13)-1),
"Ø","0"),
" ",""))</f>
        <v>79</v>
      </c>
      <c r="N16" s="3">
        <f>VALUE(SUBSTITUTE(SUBSTITUTE(
  MID(Data1!M13, FIND("H", Data1!M13)+1, FIND("L", Data1!M13)-FIND("H", Data1!M13)-1),
"Ø","0"),
" ",""))</f>
        <v>67</v>
      </c>
      <c r="O16" s="3">
        <f>VALUE(SUBSTITUTE(SUBSTITUTE(
  MID(Data1!N13, FIND("H", Data1!N13)+1, FIND("L", Data1!N13)-FIND("H", Data1!N13)-1),
"Ø","0"),
" ",""))</f>
        <v>58</v>
      </c>
    </row>
    <row r="17" spans="2:15">
      <c r="B17" s="9" t="str">
        <v>Denver</v>
      </c>
      <c r="C17" s="3"/>
      <c r="D17" s="3">
        <f>VALUE(SUBSTITUTE(SUBSTITUTE(
  MID(Data1!C14, FIND("H", Data1!C14)+1, FIND("L", Data1!C14)-FIND("H", Data1!C14)-1),
"Ø","0"),
" ",""))</f>
        <v>45</v>
      </c>
      <c r="E17" s="3">
        <f>VALUE(SUBSTITUTE(SUBSTITUTE(
  MID(Data1!D14, FIND("H", Data1!D14)+1, FIND("L", Data1!D14)-FIND("H", Data1!D14)-1),
"Ø","0"),
" ",""))</f>
        <v>46</v>
      </c>
      <c r="F17" s="3">
        <f>VALUE(SUBSTITUTE(SUBSTITUTE(
  MID(Data1!E14, FIND("H", Data1!E14)+1, FIND("L", Data1!E14)-FIND("H", Data1!E14)-1),
"Ø","0"),
" ",""))</f>
        <v>54</v>
      </c>
      <c r="G17" s="3">
        <f>VALUE(SUBSTITUTE(SUBSTITUTE(
  MID(Data1!F14, FIND("H", Data1!F14)+1, FIND("L", Data1!F14)-FIND("H", Data1!F14)-1),
"Ø","0"),
" ",""))</f>
        <v>61</v>
      </c>
      <c r="H17" s="3">
        <f>VALUE(SUBSTITUTE(SUBSTITUTE(
  MID(Data1!G14, FIND("H", Data1!G14)+1, FIND("L", Data1!G14)-FIND("H", Data1!G14)-1),
"Ø","0"),
" ",""))</f>
        <v>71</v>
      </c>
      <c r="I17" s="3">
        <f>VALUE(SUBSTITUTE(SUBSTITUTE(
  MID(Data1!H14, FIND("H", Data1!H14)+1, FIND("L", Data1!H14)-FIND("H", Data1!H14)-1),
"Ø","0"),
" ",""))</f>
        <v>81</v>
      </c>
      <c r="J17" s="3">
        <f>VALUE(SUBSTITUTE(SUBSTITUTE(
  MID(Data1!I14, FIND("H", Data1!I14)+1, FIND("L", Data1!I14)-FIND("H", Data1!I14)-1),
"Ø","0"),
" ",""))</f>
        <v>88</v>
      </c>
      <c r="K17" s="3">
        <f>VALUE(SUBSTITUTE(SUBSTITUTE(
  MID(Data1!J14, FIND("H", Data1!J14)+1, FIND("L", Data1!J14)-FIND("H", Data1!J14)-1),
"Ø","0"),
" ",""))</f>
        <v>86</v>
      </c>
      <c r="L17" s="3">
        <f>VALUE(SUBSTITUTE(SUBSTITUTE(
  MID(Data1!K14, FIND("H", Data1!K14)+1, FIND("L", Data1!K14)-FIND("H", Data1!K14)-1),
"Ø","0"),
" ",""))</f>
        <v>77</v>
      </c>
      <c r="M17" s="3">
        <f>VALUE(SUBSTITUTE(SUBSTITUTE(
  MID(Data1!L14, FIND("H", Data1!L14)+1, FIND("L", Data1!L14)-FIND("H", Data1!L14)-1),
"Ø","0"),
" ",""))</f>
        <v>65</v>
      </c>
      <c r="N17" s="3">
        <f>VALUE(SUBSTITUTE(SUBSTITUTE(
  MID(Data1!M14, FIND("H", Data1!M14)+1, FIND("L", Data1!M14)-FIND("H", Data1!M14)-1),
"Ø","0"),
" ",""))</f>
        <v>52</v>
      </c>
      <c r="O17" s="3">
        <f>VALUE(SUBSTITUTE(SUBSTITUTE(
  MID(Data1!N14, FIND("H", Data1!N14)+1, FIND("L", Data1!N14)-FIND("H", Data1!N14)-1),
"Ø","0"),
" ",""))</f>
        <v>43</v>
      </c>
    </row>
    <row r="18" spans="2:15">
      <c r="B18" s="9" t="str">
        <v>Detroit</v>
      </c>
      <c r="C18" s="3"/>
      <c r="D18" s="3">
        <f>VALUE(SUBSTITUTE(SUBSTITUTE(
  MID(Data1!C15, FIND("H", Data1!C15)+1, FIND("L", Data1!C15)-FIND("H", Data1!C15)-1),
"Ø","0"),
" ",""))</f>
        <v>32</v>
      </c>
      <c r="E18" s="3">
        <f>VALUE(SUBSTITUTE(SUBSTITUTE(
  MID(Data1!D15, FIND("H", Data1!D15)+1, FIND("L", Data1!D15)-FIND("H", Data1!D15)-1),
"Ø","0"),
" ",""))</f>
        <v>35</v>
      </c>
      <c r="F18" s="3">
        <f>VALUE(SUBSTITUTE(SUBSTITUTE(
  MID(Data1!E15, FIND("H", Data1!E15)+1, FIND("L", Data1!E15)-FIND("H", Data1!E15)-1),
"Ø","0"),
" ",""))</f>
        <v>46</v>
      </c>
      <c r="G18" s="3">
        <f>VALUE(SUBSTITUTE(SUBSTITUTE(
  MID(Data1!F15, FIND("H", Data1!F15)+1, FIND("L", Data1!F15)-FIND("H", Data1!F15)-1),
"Ø","0"),
" ",""))</f>
        <v>59</v>
      </c>
      <c r="H18" s="3">
        <f>VALUE(SUBSTITUTE(SUBSTITUTE(
  MID(Data1!G15, FIND("H", Data1!G15)+1, FIND("L", Data1!G15)-FIND("H", Data1!G15)-1),
"Ø","0"),
" ",""))</f>
        <v>70</v>
      </c>
      <c r="I18" s="3">
        <f>VALUE(SUBSTITUTE(SUBSTITUTE(
  MID(Data1!H15, FIND("H", Data1!H15)+1, FIND("L", Data1!H15)-FIND("H", Data1!H15)-1),
"Ø","0"),
" ",""))</f>
        <v>79</v>
      </c>
      <c r="J18" s="3">
        <f>VALUE(SUBSTITUTE(SUBSTITUTE(
  MID(Data1!I15, FIND("H", Data1!I15)+1, FIND("L", Data1!I15)-FIND("H", Data1!I15)-1),
"Ø","0"),
" ",""))</f>
        <v>83</v>
      </c>
      <c r="K18" s="3">
        <f>VALUE(SUBSTITUTE(SUBSTITUTE(
  MID(Data1!J15, FIND("H", Data1!J15)+1, FIND("L", Data1!J15)-FIND("H", Data1!J15)-1),
"Ø","0"),
" ",""))</f>
        <v>81</v>
      </c>
      <c r="L18" s="3">
        <f>VALUE(SUBSTITUTE(SUBSTITUTE(
  MID(Data1!K15, FIND("H", Data1!K15)+1, FIND("L", Data1!K15)-FIND("H", Data1!K15)-1),
"Ø","0"),
" ",""))</f>
        <v>74</v>
      </c>
      <c r="M18" s="3">
        <f>VALUE(SUBSTITUTE(SUBSTITUTE(
  MID(Data1!L15, FIND("H", Data1!L15)+1, FIND("L", Data1!L15)-FIND("H", Data1!L15)-1),
"Ø","0"),
" ",""))</f>
        <v>62</v>
      </c>
      <c r="N18" s="3">
        <f>VALUE(SUBSTITUTE(SUBSTITUTE(
  MID(Data1!M15, FIND("H", Data1!M15)+1, FIND("L", Data1!M15)-FIND("H", Data1!M15)-1),
"Ø","0"),
" ",""))</f>
        <v>49</v>
      </c>
      <c r="O18" s="3">
        <f>VALUE(SUBSTITUTE(SUBSTITUTE(
  MID(Data1!N15, FIND("H", Data1!N15)+1, FIND("L", Data1!N15)-FIND("H", Data1!N15)-1),
"Ø","0"),
" ",""))</f>
        <v>36</v>
      </c>
    </row>
    <row r="19" spans="2:15">
      <c r="B19" s="9" t="str">
        <v>Hartford</v>
      </c>
      <c r="C19" s="3"/>
      <c r="D19" s="3">
        <f>VALUE(SUBSTITUTE(SUBSTITUTE(
  MID(Data1!C16, FIND("H", Data1!C16)+1, FIND("L", Data1!C16)-FIND("H", Data1!C16)-1),
"Ø","0"),
" ",""))</f>
        <v>35</v>
      </c>
      <c r="E19" s="3">
        <f>VALUE(SUBSTITUTE(SUBSTITUTE(
  MID(Data1!D16, FIND("H", Data1!D16)+1, FIND("L", Data1!D16)-FIND("H", Data1!D16)-1),
"Ø","0"),
" ",""))</f>
        <v>39</v>
      </c>
      <c r="F19" s="3">
        <f>VALUE(SUBSTITUTE(SUBSTITUTE(
  MID(Data1!E16, FIND("H", Data1!E16)+1, FIND("L", Data1!E16)-FIND("H", Data1!E16)-1),
"Ø","0"),
" ",""))</f>
        <v>48</v>
      </c>
      <c r="G19" s="3">
        <f>VALUE(SUBSTITUTE(SUBSTITUTE(
  MID(Data1!F16, FIND("H", Data1!F16)+1, FIND("L", Data1!F16)-FIND("H", Data1!F16)-1),
"Ø","0"),
" ",""))</f>
        <v>61</v>
      </c>
      <c r="H19" s="3">
        <f>VALUE(SUBSTITUTE(SUBSTITUTE(
  MID(Data1!G16, FIND("H", Data1!G16)+1, FIND("L", Data1!G16)-FIND("H", Data1!G16)-1),
"Ø","0"),
" ",""))</f>
        <v>71</v>
      </c>
      <c r="I19" s="3">
        <f>VALUE(SUBSTITUTE(SUBSTITUTE(
  MID(Data1!H16, FIND("H", Data1!H16)+1, FIND("L", Data1!H16)-FIND("H", Data1!H16)-1),
"Ø","0"),
" ",""))</f>
        <v>80</v>
      </c>
      <c r="J19" s="3">
        <f>VALUE(SUBSTITUTE(SUBSTITUTE(
  MID(Data1!I16, FIND("H", Data1!I16)+1, FIND("L", Data1!I16)-FIND("H", Data1!I16)-1),
"Ø","0"),
" ",""))</f>
        <v>85</v>
      </c>
      <c r="K19" s="3">
        <f>VALUE(SUBSTITUTE(SUBSTITUTE(
  MID(Data1!J16, FIND("H", Data1!J16)+1, FIND("L", Data1!J16)-FIND("H", Data1!J16)-1),
"Ø","0"),
" ",""))</f>
        <v>83</v>
      </c>
      <c r="L19" s="3">
        <f>VALUE(SUBSTITUTE(SUBSTITUTE(
  MID(Data1!K16, FIND("H", Data1!K16)+1, FIND("L", Data1!K16)-FIND("H", Data1!K16)-1),
"Ø","0"),
" ",""))</f>
        <v>75</v>
      </c>
      <c r="M19" s="3">
        <f>VALUE(SUBSTITUTE(SUBSTITUTE(
  MID(Data1!L16, FIND("H", Data1!L16)+1, FIND("L", Data1!L16)-FIND("H", Data1!L16)-1),
"Ø","0"),
" ",""))</f>
        <v>63</v>
      </c>
      <c r="N19" s="3">
        <f>VALUE(SUBSTITUTE(SUBSTITUTE(
  MID(Data1!M16, FIND("H", Data1!M16)+1, FIND("L", Data1!M16)-FIND("H", Data1!M16)-1),
"Ø","0"),
" ",""))</f>
        <v>52</v>
      </c>
      <c r="O19" s="3">
        <f>VALUE(SUBSTITUTE(SUBSTITUTE(
  MID(Data1!N16, FIND("H", Data1!N16)+1, FIND("L", Data1!N16)-FIND("H", Data1!N16)-1),
"Ø","0"),
" ",""))</f>
        <v>40</v>
      </c>
    </row>
    <row r="20" spans="2:15">
      <c r="B20" s="9" t="str">
        <v>Houston</v>
      </c>
      <c r="C20" s="3"/>
      <c r="D20" s="3">
        <f>VALUE(SUBSTITUTE(SUBSTITUTE(
  MID(Data1!C17, FIND("H", Data1!C17)+1, FIND("L", Data1!C17)-FIND("H", Data1!C17)-1),
"Ø","0"),
" ",""))</f>
        <v>63</v>
      </c>
      <c r="E20" s="3">
        <f>VALUE(SUBSTITUTE(SUBSTITUTE(
  MID(Data1!D17, FIND("H", Data1!D17)+1, FIND("L", Data1!D17)-FIND("H", Data1!D17)-1),
"Ø","0"),
" ",""))</f>
        <v>66</v>
      </c>
      <c r="F20" s="3">
        <f>VALUE(SUBSTITUTE(SUBSTITUTE(
  MID(Data1!E17, FIND("H", Data1!E17)+1, FIND("L", Data1!E17)-FIND("H", Data1!E17)-1),
"Ø","0"),
" ",""))</f>
        <v>73</v>
      </c>
      <c r="G20" s="3">
        <f>VALUE(SUBSTITUTE(SUBSTITUTE(
  MID(Data1!F17, FIND("H", Data1!F17)+1, FIND("L", Data1!F17)-FIND("H", Data1!F17)-1),
"Ø","0"),
" ",""))</f>
        <v>80</v>
      </c>
      <c r="H20" s="3">
        <f>VALUE(SUBSTITUTE(SUBSTITUTE(
  MID(Data1!G17, FIND("H", Data1!G17)+1, FIND("L", Data1!G17)-FIND("H", Data1!G17)-1),
"Ø","0"),
" ",""))</f>
        <v>86</v>
      </c>
      <c r="I20" s="3">
        <f>VALUE(SUBSTITUTE(SUBSTITUTE(
  MID(Data1!H17, FIND("H", Data1!H17)+1, FIND("L", Data1!H17)-FIND("H", Data1!H17)-1),
"Ø","0"),
" ",""))</f>
        <v>91</v>
      </c>
      <c r="J20" s="3">
        <f>VALUE(SUBSTITUTE(SUBSTITUTE(
  MID(Data1!I17, FIND("H", Data1!I17)+1, FIND("L", Data1!I17)-FIND("H", Data1!I17)-1),
"Ø","0"),
" ",""))</f>
        <v>94</v>
      </c>
      <c r="K20" s="3">
        <f>VALUE(SUBSTITUTE(SUBSTITUTE(
  MID(Data1!J17, FIND("H", Data1!J17)+1, FIND("L", Data1!J17)-FIND("H", Data1!J17)-1),
"Ø","0"),
" ",""))</f>
        <v>95</v>
      </c>
      <c r="L20" s="3">
        <f>VALUE(SUBSTITUTE(SUBSTITUTE(
  MID(Data1!K17, FIND("H", Data1!K17)+1, FIND("L", Data1!K17)-FIND("H", Data1!K17)-1),
"Ø","0"),
" ",""))</f>
        <v>90</v>
      </c>
      <c r="M20" s="3">
        <f>VALUE(SUBSTITUTE(SUBSTITUTE(
  MID(Data1!L17, FIND("H", Data1!L17)+1, FIND("L", Data1!L17)-FIND("H", Data1!L17)-1),
"Ø","0"),
" ",""))</f>
        <v>82</v>
      </c>
      <c r="N20" s="3">
        <f>VALUE(SUBSTITUTE(SUBSTITUTE(
  MID(Data1!M17, FIND("H", Data1!M17)+1, FIND("L", Data1!M17)-FIND("H", Data1!M17)-1),
"Ø","0"),
" ",""))</f>
        <v>73</v>
      </c>
      <c r="O20" s="3">
        <f>VALUE(SUBSTITUTE(SUBSTITUTE(
  MID(Data1!N17, FIND("H", Data1!N17)+1, FIND("L", Data1!N17)-FIND("H", Data1!N17)-1),
"Ø","0"),
" ",""))</f>
        <v>64</v>
      </c>
    </row>
    <row r="21" spans="2:15">
      <c r="B21" s="9" t="str">
        <v>Indianapolis</v>
      </c>
      <c r="C21" s="3"/>
      <c r="D21" s="3">
        <f>VALUE(SUBSTITUTE(SUBSTITUTE(
  MID(Data1!C18, FIND("H", Data1!C18)+1, FIND("L", Data1!C18)-FIND("H", Data1!C18)-1),
"Ø","0"),
" ",""))</f>
        <v>36</v>
      </c>
      <c r="E21" s="3">
        <f>VALUE(SUBSTITUTE(SUBSTITUTE(
  MID(Data1!D18, FIND("H", Data1!D18)+1, FIND("L", Data1!D18)-FIND("H", Data1!D18)-1),
"Ø","0"),
" ",""))</f>
        <v>40</v>
      </c>
      <c r="F21" s="3">
        <f>VALUE(SUBSTITUTE(SUBSTITUTE(
  MID(Data1!E18, FIND("H", Data1!E18)+1, FIND("L", Data1!E18)-FIND("H", Data1!E18)-1),
"Ø","0"),
" ",""))</f>
        <v>52</v>
      </c>
      <c r="G21" s="3">
        <f>VALUE(SUBSTITUTE(SUBSTITUTE(
  MID(Data1!F18, FIND("H", Data1!F18)+1, FIND("L", Data1!F18)-FIND("H", Data1!F18)-1),
"Ø","0"),
" ",""))</f>
        <v>63</v>
      </c>
      <c r="H21" s="3">
        <f>VALUE(SUBSTITUTE(SUBSTITUTE(
  MID(Data1!G18, FIND("H", Data1!G18)+1, FIND("L", Data1!G18)-FIND("H", Data1!G18)-1),
"Ø","0"),
" ",""))</f>
        <v>73</v>
      </c>
      <c r="I21" s="3">
        <f>VALUE(SUBSTITUTE(SUBSTITUTE(
  MID(Data1!H18, FIND("H", Data1!H18)+1, FIND("L", Data1!H18)-FIND("H", Data1!H18)-1),
"Ø","0"),
" ",""))</f>
        <v>82</v>
      </c>
      <c r="J21" s="3">
        <f>VALUE(SUBSTITUTE(SUBSTITUTE(
  MID(Data1!I18, FIND("H", Data1!I18)+1, FIND("L", Data1!I18)-FIND("H", Data1!I18)-1),
"Ø","0"),
" ",""))</f>
        <v>85</v>
      </c>
      <c r="K21" s="3">
        <f>VALUE(SUBSTITUTE(SUBSTITUTE(
  MID(Data1!J18, FIND("H", Data1!J18)+1, FIND("L", Data1!J18)-FIND("H", Data1!J18)-1),
"Ø","0"),
" ",""))</f>
        <v>84</v>
      </c>
      <c r="L21" s="3">
        <f>VALUE(SUBSTITUTE(SUBSTITUTE(
  MID(Data1!K18, FIND("H", Data1!K18)+1, FIND("L", Data1!K18)-FIND("H", Data1!K18)-1),
"Ø","0"),
" ",""))</f>
        <v>78</v>
      </c>
      <c r="M21" s="3">
        <f>VALUE(SUBSTITUTE(SUBSTITUTE(
  MID(Data1!L18, FIND("H", Data1!L18)+1, FIND("L", Data1!L18)-FIND("H", Data1!L18)-1),
"Ø","0"),
" ",""))</f>
        <v>65</v>
      </c>
      <c r="N21" s="3">
        <f>VALUE(SUBSTITUTE(SUBSTITUTE(
  MID(Data1!M18, FIND("H", Data1!M18)+1, FIND("L", Data1!M18)-FIND("H", Data1!M18)-1),
"Ø","0"),
" ",""))</f>
        <v>52</v>
      </c>
      <c r="O21" s="3">
        <f>VALUE(SUBSTITUTE(SUBSTITUTE(
  MID(Data1!N18, FIND("H", Data1!N18)+1, FIND("L", Data1!N18)-FIND("H", Data1!N18)-1),
"Ø","0"),
" ",""))</f>
        <v>39</v>
      </c>
    </row>
    <row r="22" spans="2:15">
      <c r="B22" s="9" t="str">
        <v>Jacksonville</v>
      </c>
      <c r="C22" s="3"/>
      <c r="D22" s="3">
        <f>VALUE(SUBSTITUTE(SUBSTITUTE(
  MID(Data1!C19, FIND("H", Data1!C19)+1, FIND("L", Data1!C19)-FIND("H", Data1!C19)-1),
"Ø","0"),
" ",""))</f>
        <v>65</v>
      </c>
      <c r="E22" s="3">
        <f>VALUE(SUBSTITUTE(SUBSTITUTE(
  MID(Data1!D19, FIND("H", Data1!D19)+1, FIND("L", Data1!D19)-FIND("H", Data1!D19)-1),
"Ø","0"),
" ",""))</f>
        <v>68</v>
      </c>
      <c r="F22" s="3">
        <f>VALUE(SUBSTITUTE(SUBSTITUTE(
  MID(Data1!E19, FIND("H", Data1!E19)+1, FIND("L", Data1!E19)-FIND("H", Data1!E19)-1),
"Ø","0"),
" ",""))</f>
        <v>74</v>
      </c>
      <c r="G22" s="3">
        <f>VALUE(SUBSTITUTE(SUBSTITUTE(
  MID(Data1!F19, FIND("H", Data1!F19)+1, FIND("L", Data1!F19)-FIND("H", Data1!F19)-1),
"Ø","0"),
" ",""))</f>
        <v>79</v>
      </c>
      <c r="H22" s="3">
        <f>VALUE(SUBSTITUTE(SUBSTITUTE(
  MID(Data1!G19, FIND("H", Data1!G19)+1, FIND("L", Data1!G19)-FIND("H", Data1!G19)-1),
"Ø","0"),
" ",""))</f>
        <v>86</v>
      </c>
      <c r="I22" s="3">
        <f>VALUE(SUBSTITUTE(SUBSTITUTE(
  MID(Data1!H19, FIND("H", Data1!H19)+1, FIND("L", Data1!H19)-FIND("H", Data1!H19)-1),
"Ø","0"),
" ",""))</f>
        <v>90</v>
      </c>
      <c r="J22" s="3">
        <f>VALUE(SUBSTITUTE(SUBSTITUTE(
  MID(Data1!I19, FIND("H", Data1!I19)+1, FIND("L", Data1!I19)-FIND("H", Data1!I19)-1),
"Ø","0"),
" ",""))</f>
        <v>92</v>
      </c>
      <c r="K22" s="3">
        <f>VALUE(SUBSTITUTE(SUBSTITUTE(
  MID(Data1!J19, FIND("H", Data1!J19)+1, FIND("L", Data1!J19)-FIND("H", Data1!J19)-1),
"Ø","0"),
" ",""))</f>
        <v>91</v>
      </c>
      <c r="L22" s="3">
        <f>VALUE(SUBSTITUTE(SUBSTITUTE(
  MID(Data1!K19, FIND("H", Data1!K19)+1, FIND("L", Data1!K19)-FIND("H", Data1!K19)-1),
"Ø","0"),
" ",""))</f>
        <v>87</v>
      </c>
      <c r="M22" s="3">
        <f>VALUE(SUBSTITUTE(SUBSTITUTE(
  MID(Data1!L19, FIND("H", Data1!L19)+1, FIND("L", Data1!L19)-FIND("H", Data1!L19)-1),
"Ø","0"),
" ",""))</f>
        <v>80</v>
      </c>
      <c r="N22" s="3">
        <f>VALUE(SUBSTITUTE(SUBSTITUTE(
  MID(Data1!M19, FIND("H", Data1!M19)+1, FIND("L", Data1!M19)-FIND("H", Data1!M19)-1),
"Ø","0"),
" ",""))</f>
        <v>74</v>
      </c>
      <c r="O22" s="3">
        <f>VALUE(SUBSTITUTE(SUBSTITUTE(
  MID(Data1!N19, FIND("H", Data1!N19)+1, FIND("L", Data1!N19)-FIND("H", Data1!N19)-1),
"Ø","0"),
" ",""))</f>
        <v>67</v>
      </c>
    </row>
    <row r="23" spans="2:15">
      <c r="B23" s="9" t="str">
        <v>Kansas City</v>
      </c>
      <c r="C23" s="3"/>
      <c r="D23" s="3">
        <f>VALUE(SUBSTITUTE(SUBSTITUTE(
  MID(Data1!C20, FIND("H", Data1!C20)+1, FIND("L", Data1!C20)-FIND("H", Data1!C20)-1),
"Ø","0"),
" ",""))</f>
        <v>40</v>
      </c>
      <c r="E23" s="3">
        <f>VALUE(SUBSTITUTE(SUBSTITUTE(
  MID(Data1!D20, FIND("H", Data1!D20)+1, FIND("L", Data1!D20)-FIND("H", Data1!D20)-1),
"Ø","0"),
" ",""))</f>
        <v>45</v>
      </c>
      <c r="F23" s="3">
        <f>VALUE(SUBSTITUTE(SUBSTITUTE(
  MID(Data1!E20, FIND("H", Data1!E20)+1, FIND("L", Data1!E20)-FIND("H", Data1!E20)-1),
"Ø","0"),
" ",""))</f>
        <v>56</v>
      </c>
      <c r="G23" s="3">
        <f>VALUE(SUBSTITUTE(SUBSTITUTE(
  MID(Data1!F20, FIND("H", Data1!F20)+1, FIND("L", Data1!F20)-FIND("H", Data1!F20)-1),
"Ø","0"),
" ",""))</f>
        <v>67</v>
      </c>
      <c r="H23" s="3">
        <f>VALUE(SUBSTITUTE(SUBSTITUTE(
  MID(Data1!G20, FIND("H", Data1!G20)+1, FIND("L", Data1!G20)-FIND("H", Data1!G20)-1),
"Ø","0"),
" ",""))</f>
        <v>76</v>
      </c>
      <c r="I23" s="3">
        <f>VALUE(SUBSTITUTE(SUBSTITUTE(
  MID(Data1!H20, FIND("H", Data1!H20)+1, FIND("L", Data1!H20)-FIND("H", Data1!H20)-1),
"Ø","0"),
" ",""))</f>
        <v>85</v>
      </c>
      <c r="J23" s="3">
        <f>VALUE(SUBSTITUTE(SUBSTITUTE(
  MID(Data1!I20, FIND("H", Data1!I20)+1, FIND("L", Data1!I20)-FIND("H", Data1!I20)-1),
"Ø","0"),
" ",""))</f>
        <v>90</v>
      </c>
      <c r="K23" s="3">
        <f>VALUE(SUBSTITUTE(SUBSTITUTE(
  MID(Data1!J20, FIND("H", Data1!J20)+1, FIND("L", Data1!J20)-FIND("H", Data1!J20)-1),
"Ø","0"),
" ",""))</f>
        <v>89</v>
      </c>
      <c r="L23" s="3">
        <f>VALUE(SUBSTITUTE(SUBSTITUTE(
  MID(Data1!K20, FIND("H", Data1!K20)+1, FIND("L", Data1!K20)-FIND("H", Data1!K20)-1),
"Ø","0"),
" ",""))</f>
        <v>80</v>
      </c>
      <c r="M23" s="3">
        <f>VALUE(SUBSTITUTE(SUBSTITUTE(
  MID(Data1!L20, FIND("H", Data1!L20)+1, FIND("L", Data1!L20)-FIND("H", Data1!L20)-1),
"Ø","0"),
" ",""))</f>
        <v>68</v>
      </c>
      <c r="N23" s="3">
        <f>VALUE(SUBSTITUTE(SUBSTITUTE(
  MID(Data1!M20, FIND("H", Data1!M20)+1, FIND("L", Data1!M20)-FIND("H", Data1!M20)-1),
"Ø","0"),
" ",""))</f>
        <v>54</v>
      </c>
      <c r="O23" s="3">
        <f>VALUE(SUBSTITUTE(SUBSTITUTE(
  MID(Data1!N20, FIND("H", Data1!N20)+1, FIND("L", Data1!N20)-FIND("H", Data1!N20)-1),
"Ø","0"),
" ",""))</f>
        <v>42</v>
      </c>
    </row>
    <row r="24" spans="2:15">
      <c r="B24" s="9" t="str">
        <v>Las Vegas</v>
      </c>
      <c r="C24" s="3"/>
      <c r="D24" s="3">
        <f>VALUE(SUBSTITUTE(SUBSTITUTE(
  MID(Data1!C21, FIND("H", Data1!C21)+1, FIND("L", Data1!C21)-FIND("H", Data1!C21)-1),
"Ø","0"),
" ",""))</f>
        <v>58</v>
      </c>
      <c r="E24" s="3">
        <f>VALUE(SUBSTITUTE(SUBSTITUTE(
  MID(Data1!D21, FIND("H", Data1!D21)+1, FIND("L", Data1!D21)-FIND("H", Data1!D21)-1),
"Ø","0"),
" ",""))</f>
        <v>63</v>
      </c>
      <c r="F24" s="3">
        <f>VALUE(SUBSTITUTE(SUBSTITUTE(
  MID(Data1!E21, FIND("H", Data1!E21)+1, FIND("L", Data1!E21)-FIND("H", Data1!E21)-1),
"Ø","0"),
" ",""))</f>
        <v>70</v>
      </c>
      <c r="G24" s="3">
        <f>VALUE(SUBSTITUTE(SUBSTITUTE(
  MID(Data1!F21, FIND("H", Data1!F21)+1, FIND("L", Data1!F21)-FIND("H", Data1!F21)-1),
"Ø","0"),
" ",""))</f>
        <v>78</v>
      </c>
      <c r="H24" s="3">
        <f>VALUE(SUBSTITUTE(SUBSTITUTE(
  MID(Data1!G21, FIND("H", Data1!G21)+1, FIND("L", Data1!G21)-FIND("H", Data1!G21)-1),
"Ø","0"),
" ",""))</f>
        <v>89</v>
      </c>
      <c r="I24" s="3">
        <f>VALUE(SUBSTITUTE(SUBSTITUTE(
  MID(Data1!H21, FIND("H", Data1!H21)+1, FIND("L", Data1!H21)-FIND("H", Data1!H21)-1),
"Ø","0"),
" ",""))</f>
        <v>99</v>
      </c>
      <c r="J24" s="3">
        <f>VALUE(SUBSTITUTE(SUBSTITUTE(
  MID(Data1!I21, FIND("H", Data1!I21)+1, FIND("L", Data1!I21)-FIND("H", Data1!I21)-1),
"Ø","0"),
" ",""))</f>
        <v>104</v>
      </c>
      <c r="K24" s="3">
        <f>VALUE(SUBSTITUTE(SUBSTITUTE(
  MID(Data1!J21, FIND("H", Data1!J21)+1, FIND("L", Data1!J21)-FIND("H", Data1!J21)-1),
"Ø","0"),
" ",""))</f>
        <v>102</v>
      </c>
      <c r="L24" s="3">
        <f>VALUE(SUBSTITUTE(SUBSTITUTE(
  MID(Data1!K21, FIND("H", Data1!K21)+1, FIND("L", Data1!K21)-FIND("H", Data1!K21)-1),
"Ø","0"),
" ",""))</f>
        <v>94</v>
      </c>
      <c r="M24" s="3">
        <f>VALUE(SUBSTITUTE(SUBSTITUTE(
  MID(Data1!L21, FIND("H", Data1!L21)+1, FIND("L", Data1!L21)-FIND("H", Data1!L21)-1),
"Ø","0"),
" ",""))</f>
        <v>81</v>
      </c>
      <c r="N24" s="3">
        <f>VALUE(SUBSTITUTE(SUBSTITUTE(
  MID(Data1!M21, FIND("H", Data1!M21)+1, FIND("L", Data1!M21)-FIND("H", Data1!M21)-1),
"Ø","0"),
" ",""))</f>
        <v>66</v>
      </c>
      <c r="O24" s="3">
        <f>VALUE(SUBSTITUTE(SUBSTITUTE(
  MID(Data1!N21, FIND("H", Data1!N21)+1, FIND("L", Data1!N21)-FIND("H", Data1!N21)-1),
"Ø","0"),
" ",""))</f>
        <v>57</v>
      </c>
    </row>
    <row r="25" spans="2:15">
      <c r="B25" s="9" t="str">
        <v>Los Angeles</v>
      </c>
      <c r="C25" s="3"/>
      <c r="D25" s="3">
        <f>VALUE(SUBSTITUTE(SUBSTITUTE(
  MID(Data1!C22, FIND("H", Data1!C22)+1, FIND("L", Data1!C22)-FIND("H", Data1!C22)-1),
"Ø","0"),
" ",""))</f>
        <v>68</v>
      </c>
      <c r="E25" s="3">
        <f>VALUE(SUBSTITUTE(SUBSTITUTE(
  MID(Data1!D22, FIND("H", Data1!D22)+1, FIND("L", Data1!D22)-FIND("H", Data1!D22)-1),
"Ø","0"),
" ",""))</f>
        <v>69</v>
      </c>
      <c r="F25" s="3">
        <f>VALUE(SUBSTITUTE(SUBSTITUTE(
  MID(Data1!E22, FIND("H", Data1!E22)+1, FIND("L", Data1!E22)-FIND("H", Data1!E22)-1),
"Ø","0"),
" ",""))</f>
        <v>70</v>
      </c>
      <c r="G25" s="3">
        <f>VALUE(SUBSTITUTE(SUBSTITUTE(
  MID(Data1!F22, FIND("H", Data1!F22)+1, FIND("L", Data1!F22)-FIND("H", Data1!F22)-1),
"Ø","0"),
" ",""))</f>
        <v>73</v>
      </c>
      <c r="H25" s="3">
        <f>VALUE(SUBSTITUTE(SUBSTITUTE(
  MID(Data1!G22, FIND("H", Data1!G22)+1, FIND("L", Data1!G22)-FIND("H", Data1!G22)-1),
"Ø","0"),
" ",""))</f>
        <v>75</v>
      </c>
      <c r="I25" s="3">
        <f>VALUE(SUBSTITUTE(SUBSTITUTE(
  MID(Data1!H22, FIND("H", Data1!H22)+1, FIND("L", Data1!H22)-FIND("H", Data1!H22)-1),
"Ø","0"),
" ",""))</f>
        <v>78</v>
      </c>
      <c r="J25" s="3">
        <f>VALUE(SUBSTITUTE(SUBSTITUTE(
  MID(Data1!I22, FIND("H", Data1!I22)+1, FIND("L", Data1!I22)-FIND("H", Data1!I22)-1),
"Ø","0"),
" ",""))</f>
        <v>83</v>
      </c>
      <c r="K25" s="3">
        <f>VALUE(SUBSTITUTE(SUBSTITUTE(
  MID(Data1!J22, FIND("H", Data1!J22)+1, FIND("L", Data1!J22)-FIND("H", Data1!J22)-1),
"Ø","0"),
" ",""))</f>
        <v>84</v>
      </c>
      <c r="L25" s="3">
        <f>VALUE(SUBSTITUTE(SUBSTITUTE(
  MID(Data1!K22, FIND("H", Data1!K22)+1, FIND("L", Data1!K22)-FIND("H", Data1!K22)-1),
"Ø","0"),
" ",""))</f>
        <v>83</v>
      </c>
      <c r="M25" s="3">
        <f>VALUE(SUBSTITUTE(SUBSTITUTE(
  MID(Data1!L22, FIND("H", Data1!L22)+1, FIND("L", Data1!L22)-FIND("H", Data1!L22)-1),
"Ø","0"),
" ",""))</f>
        <v>79</v>
      </c>
      <c r="N25" s="3">
        <f>VALUE(SUBSTITUTE(SUBSTITUTE(
  MID(Data1!M22, FIND("H", Data1!M22)+1, FIND("L", Data1!M22)-FIND("H", Data1!M22)-1),
"Ø","0"),
" ",""))</f>
        <v>73</v>
      </c>
      <c r="O25" s="3">
        <f>VALUE(SUBSTITUTE(SUBSTITUTE(
  MID(Data1!N22, FIND("H", Data1!N22)+1, FIND("L", Data1!N22)-FIND("H", Data1!N22)-1),
"Ø","0"),
" ",""))</f>
        <v>68</v>
      </c>
    </row>
    <row r="26" spans="2:15">
      <c r="B26" s="9" t="str">
        <v>Louisville</v>
      </c>
      <c r="C26" s="3"/>
      <c r="D26" s="3">
        <f>VALUE(SUBSTITUTE(SUBSTITUTE(
  MID(Data1!C23, FIND("H", Data1!C23)+1, FIND("L", Data1!C23)-FIND("H", Data1!C23)-1),
"Ø","0"),
" ",""))</f>
        <v>43</v>
      </c>
      <c r="E26" s="3">
        <f>VALUE(SUBSTITUTE(SUBSTITUTE(
  MID(Data1!D23, FIND("H", Data1!D23)+1, FIND("L", Data1!D23)-FIND("H", Data1!D23)-1),
"Ø","0"),
" ",""))</f>
        <v>48</v>
      </c>
      <c r="F26" s="3">
        <f>VALUE(SUBSTITUTE(SUBSTITUTE(
  MID(Data1!E23, FIND("H", Data1!E23)+1, FIND("L", Data1!E23)-FIND("H", Data1!E23)-1),
"Ø","0"),
" ",""))</f>
        <v>58</v>
      </c>
      <c r="G26" s="3">
        <f>VALUE(SUBSTITUTE(SUBSTITUTE(
  MID(Data1!F23, FIND("H", Data1!F23)+1, FIND("L", Data1!F23)-FIND("H", Data1!F23)-1),
"Ø","0"),
" ",""))</f>
        <v>69</v>
      </c>
      <c r="H26" s="3">
        <f>VALUE(SUBSTITUTE(SUBSTITUTE(
  MID(Data1!G23, FIND("H", Data1!G23)+1, FIND("L", Data1!G23)-FIND("H", Data1!G23)-1),
"Ø","0"),
" ",""))</f>
        <v>77</v>
      </c>
      <c r="I26" s="3">
        <f>VALUE(SUBSTITUTE(SUBSTITUTE(
  MID(Data1!H23, FIND("H", Data1!H23)+1, FIND("L", Data1!H23)-FIND("H", Data1!H23)-1),
"Ø","0"),
" ",""))</f>
        <v>85</v>
      </c>
      <c r="J26" s="3">
        <f>VALUE(SUBSTITUTE(SUBSTITUTE(
  MID(Data1!I23, FIND("H", Data1!I23)+1, FIND("L", Data1!I23)-FIND("H", Data1!I23)-1),
"Ø","0"),
" ",""))</f>
        <v>89</v>
      </c>
      <c r="K26" s="3">
        <f>VALUE(SUBSTITUTE(SUBSTITUTE(
  MID(Data1!J23, FIND("H", Data1!J23)+1, FIND("L", Data1!J23)-FIND("H", Data1!J23)-1),
"Ø","0"),
" ",""))</f>
        <v>88</v>
      </c>
      <c r="L26" s="3">
        <f>VALUE(SUBSTITUTE(SUBSTITUTE(
  MID(Data1!K23, FIND("H", Data1!K23)+1, FIND("L", Data1!K23)-FIND("H", Data1!K23)-1),
"Ø","0"),
" ",""))</f>
        <v>82</v>
      </c>
      <c r="M26" s="3">
        <f>VALUE(SUBSTITUTE(SUBSTITUTE(
  MID(Data1!L23, FIND("H", Data1!L23)+1, FIND("L", Data1!L23)-FIND("H", Data1!L23)-1),
"Ø","0"),
" ",""))</f>
        <v>70</v>
      </c>
      <c r="N26" s="3">
        <f>VALUE(SUBSTITUTE(SUBSTITUTE(
  MID(Data1!M23, FIND("H", Data1!M23)+1, FIND("L", Data1!M23)-FIND("H", Data1!M23)-1),
"Ø","0"),
" ",""))</f>
        <v>58</v>
      </c>
      <c r="O26" s="3">
        <f>VALUE(SUBSTITUTE(SUBSTITUTE(
  MID(Data1!N23, FIND("H", Data1!N23)+1, FIND("L", Data1!N23)-FIND("H", Data1!N23)-1),
"Ø","0"),
" ",""))</f>
        <v>46</v>
      </c>
    </row>
    <row r="27" spans="2:15">
      <c r="B27" s="9" t="str">
        <v>Memphis</v>
      </c>
      <c r="C27" s="3"/>
      <c r="D27" s="3">
        <f>VALUE(SUBSTITUTE(SUBSTITUTE(
  MID(Data1!C24, FIND("H", Data1!C24)+1, FIND("L", Data1!C24)-FIND("H", Data1!C24)-1),
"Ø","0"),
" ",""))</f>
        <v>50</v>
      </c>
      <c r="E27" s="3">
        <f>VALUE(SUBSTITUTE(SUBSTITUTE(
  MID(Data1!D24, FIND("H", Data1!D24)+1, FIND("L", Data1!D24)-FIND("H", Data1!D24)-1),
"Ø","0"),
" ",""))</f>
        <v>55</v>
      </c>
      <c r="F27" s="3">
        <f>VALUE(SUBSTITUTE(SUBSTITUTE(
  MID(Data1!E24, FIND("H", Data1!E24)+1, FIND("L", Data1!E24)-FIND("H", Data1!E24)-1),
"Ø","0"),
" ",""))</f>
        <v>64</v>
      </c>
      <c r="G27" s="3">
        <f>VALUE(SUBSTITUTE(SUBSTITUTE(
  MID(Data1!F24, FIND("H", Data1!F24)+1, FIND("L", Data1!F24)-FIND("H", Data1!F24)-1),
"Ø","0"),
" ",""))</f>
        <v>73</v>
      </c>
      <c r="H27" s="3">
        <f>VALUE(SUBSTITUTE(SUBSTITUTE(
  MID(Data1!G24, FIND("H", Data1!G24)+1, FIND("L", Data1!G24)-FIND("H", Data1!G24)-1),
"Ø","0"),
" ",""))</f>
        <v>81</v>
      </c>
      <c r="I27" s="3">
        <f>VALUE(SUBSTITUTE(SUBSTITUTE(
  MID(Data1!H24, FIND("H", Data1!H24)+1, FIND("L", Data1!H24)-FIND("H", Data1!H24)-1),
"Ø","0"),
" ",""))</f>
        <v>89</v>
      </c>
      <c r="J27" s="3">
        <f>VALUE(SUBSTITUTE(SUBSTITUTE(
  MID(Data1!I24, FIND("H", Data1!I24)+1, FIND("L", Data1!I24)-FIND("H", Data1!I24)-1),
"Ø","0"),
" ",""))</f>
        <v>92</v>
      </c>
      <c r="K27" s="3">
        <f>VALUE(SUBSTITUTE(SUBSTITUTE(
  MID(Data1!J24, FIND("H", Data1!J24)+1, FIND("L", Data1!J24)-FIND("H", Data1!J24)-1),
"Ø","0"),
" ",""))</f>
        <v>91</v>
      </c>
      <c r="L27" s="3">
        <f>VALUE(SUBSTITUTE(SUBSTITUTE(
  MID(Data1!K24, FIND("H", Data1!K24)+1, FIND("L", Data1!K24)-FIND("H", Data1!K24)-1),
"Ø","0"),
" ",""))</f>
        <v>85</v>
      </c>
      <c r="M27" s="3">
        <f>VALUE(SUBSTITUTE(SUBSTITUTE(
  MID(Data1!L24, FIND("H", Data1!L24)+1, FIND("L", Data1!L24)-FIND("H", Data1!L24)-1),
"Ø","0"),
" ",""))</f>
        <v>74</v>
      </c>
      <c r="N27" s="3">
        <f>VALUE(SUBSTITUTE(SUBSTITUTE(
  MID(Data1!M24, FIND("H", Data1!M24)+1, FIND("L", Data1!M24)-FIND("H", Data1!M24)-1),
"Ø","0"),
" ",""))</f>
        <v>63</v>
      </c>
      <c r="O27" s="3">
        <f>VALUE(SUBSTITUTE(SUBSTITUTE(
  MID(Data1!N24, FIND("H", Data1!N24)+1, FIND("L", Data1!N24)-FIND("H", Data1!N24)-1),
"Ø","0"),
" ",""))</f>
        <v>52</v>
      </c>
    </row>
    <row r="28" spans="2:15">
      <c r="B28" s="9" t="str">
        <v>Miami</v>
      </c>
      <c r="C28" s="3"/>
      <c r="D28" s="3">
        <f>VALUE(SUBSTITUTE(SUBSTITUTE(
  MID(Data1!C25, FIND("H", Data1!C25)+1, FIND("L", Data1!C25)-FIND("H", Data1!C25)-1),
"Ø","0"),
" ",""))</f>
        <v>76</v>
      </c>
      <c r="E28" s="3">
        <f>VALUE(SUBSTITUTE(SUBSTITUTE(
  MID(Data1!D25, FIND("H", Data1!D25)+1, FIND("L", Data1!D25)-FIND("H", Data1!D25)-1),
"Ø","0"),
" ",""))</f>
        <v>78</v>
      </c>
      <c r="F28" s="3">
        <f>VALUE(SUBSTITUTE(SUBSTITUTE(
  MID(Data1!E25, FIND("H", Data1!E25)+1, FIND("L", Data1!E25)-FIND("H", Data1!E25)-1),
"Ø","0"),
" ",""))</f>
        <v>80</v>
      </c>
      <c r="G28" s="3">
        <f>VALUE(SUBSTITUTE(SUBSTITUTE(
  MID(Data1!F25, FIND("H", Data1!F25)+1, FIND("L", Data1!F25)-FIND("H", Data1!F25)-1),
"Ø","0"),
" ",""))</f>
        <v>83</v>
      </c>
      <c r="H28" s="3">
        <f>VALUE(SUBSTITUTE(SUBSTITUTE(
  MID(Data1!G25, FIND("H", Data1!G25)+1, FIND("L", Data1!G25)-FIND("H", Data1!G25)-1),
"Ø","0"),
" ",""))</f>
        <v>87</v>
      </c>
      <c r="I28" s="3">
        <f>VALUE(SUBSTITUTE(SUBSTITUTE(
  MID(Data1!H25, FIND("H", Data1!H25)+1, FIND("L", Data1!H25)-FIND("H", Data1!H25)-1),
"Ø","0"),
" ",""))</f>
        <v>90</v>
      </c>
      <c r="J28" s="3">
        <f>VALUE(SUBSTITUTE(SUBSTITUTE(
  MID(Data1!I25, FIND("H", Data1!I25)+1, FIND("L", Data1!I25)-FIND("H", Data1!I25)-1),
"Ø","0"),
" ",""))</f>
        <v>91</v>
      </c>
      <c r="K28" s="3">
        <f>VALUE(SUBSTITUTE(SUBSTITUTE(
  MID(Data1!J25, FIND("H", Data1!J25)+1, FIND("L", Data1!J25)-FIND("H", Data1!J25)-1),
"Ø","0"),
" ",""))</f>
        <v>91</v>
      </c>
      <c r="L28" s="3">
        <f>VALUE(SUBSTITUTE(SUBSTITUTE(
  MID(Data1!K25, FIND("H", Data1!K25)+1, FIND("L", Data1!K25)-FIND("H", Data1!K25)-1),
"Ø","0"),
" ",""))</f>
        <v>89</v>
      </c>
      <c r="M28" s="3">
        <f>VALUE(SUBSTITUTE(SUBSTITUTE(
  MID(Data1!L25, FIND("H", Data1!L25)+1, FIND("L", Data1!L25)-FIND("H", Data1!L25)-1),
"Ø","0"),
" ",""))</f>
        <v>86</v>
      </c>
      <c r="N28" s="3">
        <f>VALUE(SUBSTITUTE(SUBSTITUTE(
  MID(Data1!M25, FIND("H", Data1!M25)+1, FIND("L", Data1!M25)-FIND("H", Data1!M25)-1),
"Ø","0"),
" ",""))</f>
        <v>82</v>
      </c>
      <c r="O28" s="3">
        <f>VALUE(SUBSTITUTE(SUBSTITUTE(
  MID(Data1!N25, FIND("H", Data1!N25)+1, FIND("L", Data1!N25)-FIND("H", Data1!N25)-1),
"Ø","0"),
" ",""))</f>
        <v>78</v>
      </c>
    </row>
    <row r="29" spans="2:15">
      <c r="B29" s="9" t="str">
        <v>Milwaukee</v>
      </c>
      <c r="C29" s="3"/>
      <c r="D29" s="3">
        <f>VALUE(SUBSTITUTE(SUBSTITUTE(
  MID(Data1!C26, FIND("H", Data1!C26)+1, FIND("L", Data1!C26)-FIND("H", Data1!C26)-1),
"Ø","0"),
" ",""))</f>
        <v>29</v>
      </c>
      <c r="E29" s="3">
        <f>VALUE(SUBSTITUTE(SUBSTITUTE(
  MID(Data1!D26, FIND("H", Data1!D26)+1, FIND("L", Data1!D26)-FIND("H", Data1!D26)-1),
"Ø","0"),
" ",""))</f>
        <v>33</v>
      </c>
      <c r="F29" s="3">
        <f>VALUE(SUBSTITUTE(SUBSTITUTE(
  MID(Data1!E26, FIND("H", Data1!E26)+1, FIND("L", Data1!E26)-FIND("H", Data1!E26)-1),
"Ø","0"),
" ",""))</f>
        <v>42</v>
      </c>
      <c r="G29" s="3">
        <f>VALUE(SUBSTITUTE(SUBSTITUTE(
  MID(Data1!F26, FIND("H", Data1!F26)+1, FIND("L", Data1!F26)-FIND("H", Data1!F26)-1),
"Ø","0"),
" ",""))</f>
        <v>54</v>
      </c>
      <c r="H29" s="3">
        <f>VALUE(SUBSTITUTE(SUBSTITUTE(
  MID(Data1!G26, FIND("H", Data1!G26)+1, FIND("L", Data1!G26)-FIND("H", Data1!G26)-1),
"Ø","0"),
" ",""))</f>
        <v>65</v>
      </c>
      <c r="I29" s="3">
        <f>VALUE(SUBSTITUTE(SUBSTITUTE(
  MID(Data1!H26, FIND("H", Data1!H26)+1, FIND("L", Data1!H26)-FIND("H", Data1!H26)-1),
"Ø","0"),
" ",""))</f>
        <v>75</v>
      </c>
      <c r="J29" s="3">
        <f>VALUE(SUBSTITUTE(SUBSTITUTE(
  MID(Data1!I26, FIND("H", Data1!I26)+1, FIND("L", Data1!I26)-FIND("H", Data1!I26)-1),
"Ø","0"),
" ",""))</f>
        <v>80</v>
      </c>
      <c r="K29" s="3">
        <f>VALUE(SUBSTITUTE(SUBSTITUTE(
  MID(Data1!J26, FIND("H", Data1!J26)+1, FIND("L", Data1!J26)-FIND("H", Data1!J26)-1),
"Ø","0"),
" ",""))</f>
        <v>79</v>
      </c>
      <c r="L29" s="3">
        <f>VALUE(SUBSTITUTE(SUBSTITUTE(
  MID(Data1!K26, FIND("H", Data1!K26)+1, FIND("L", Data1!K26)-FIND("H", Data1!K26)-1),
"Ø","0"),
" ",""))</f>
        <v>71</v>
      </c>
      <c r="M29" s="3">
        <f>VALUE(SUBSTITUTE(SUBSTITUTE(
  MID(Data1!L26, FIND("H", Data1!L26)+1, FIND("L", Data1!L26)-FIND("H", Data1!L26)-1),
"Ø","0"),
" ",""))</f>
        <v>59</v>
      </c>
      <c r="N29" s="3">
        <f>VALUE(SUBSTITUTE(SUBSTITUTE(
  MID(Data1!M26, FIND("H", Data1!M26)+1, FIND("L", Data1!M26)-FIND("H", Data1!M26)-1),
"Ø","0"),
" ",""))</f>
        <v>46</v>
      </c>
      <c r="O29" s="3">
        <f>VALUE(SUBSTITUTE(SUBSTITUTE(
  MID(Data1!N26, FIND("H", Data1!N26)+1, FIND("L", Data1!N26)-FIND("H", Data1!N26)-1),
"Ø","0"),
" ",""))</f>
        <v>33</v>
      </c>
    </row>
    <row r="30" spans="2:15">
      <c r="B30" s="9" t="str">
        <v>Minneapolis</v>
      </c>
      <c r="C30" s="3"/>
      <c r="D30" s="3">
        <f>VALUE(SUBSTITUTE(SUBSTITUTE(
  MID(Data1!C27, FIND("H", Data1!C27)+1, FIND("L", Data1!C27)-FIND("H", Data1!C27)-1),
"Ø","0"),
" ",""))</f>
        <v>24</v>
      </c>
      <c r="E30" s="3">
        <f>VALUE(SUBSTITUTE(SUBSTITUTE(
  MID(Data1!D27, FIND("H", Data1!D27)+1, FIND("L", Data1!D27)-FIND("H", Data1!D27)-1),
"Ø","0"),
" ",""))</f>
        <v>29</v>
      </c>
      <c r="F30" s="3">
        <f>VALUE(SUBSTITUTE(SUBSTITUTE(
  MID(Data1!E27, FIND("H", Data1!E27)+1, FIND("L", Data1!E27)-FIND("H", Data1!E27)-1),
"Ø","0"),
" ",""))</f>
        <v>41</v>
      </c>
      <c r="G30" s="3">
        <f>VALUE(SUBSTITUTE(SUBSTITUTE(
  MID(Data1!F27, FIND("H", Data1!F27)+1, FIND("L", Data1!F27)-FIND("H", Data1!F27)-1),
"Ø","0"),
" ",""))</f>
        <v>58</v>
      </c>
      <c r="H30" s="3">
        <f>VALUE(SUBSTITUTE(SUBSTITUTE(
  MID(Data1!G27, FIND("H", Data1!G27)+1, FIND("L", Data1!G27)-FIND("H", Data1!G27)-1),
"Ø","0"),
" ",""))</f>
        <v>69</v>
      </c>
      <c r="I30" s="3">
        <f>VALUE(SUBSTITUTE(SUBSTITUTE(
  MID(Data1!H27, FIND("H", Data1!H27)+1, FIND("L", Data1!H27)-FIND("H", Data1!H27)-1),
"Ø","0"),
" ",""))</f>
        <v>79</v>
      </c>
      <c r="J30" s="3">
        <f>VALUE(SUBSTITUTE(SUBSTITUTE(
  MID(Data1!I27, FIND("H", Data1!I27)+1, FIND("L", Data1!I27)-FIND("H", Data1!I27)-1),
"Ø","0"),
" ",""))</f>
        <v>83</v>
      </c>
      <c r="K30" s="3">
        <f>VALUE(SUBSTITUTE(SUBSTITUTE(
  MID(Data1!J27, FIND("H", Data1!J27)+1, FIND("L", Data1!J27)-FIND("H", Data1!J27)-1),
"Ø","0"),
" ",""))</f>
        <v>81</v>
      </c>
      <c r="L30" s="3">
        <f>VALUE(SUBSTITUTE(SUBSTITUTE(
  MID(Data1!K27, FIND("H", Data1!K27)+1, FIND("L", Data1!K27)-FIND("H", Data1!K27)-1),
"Ø","0"),
" ",""))</f>
        <v>72</v>
      </c>
      <c r="M30" s="3">
        <f>VALUE(SUBSTITUTE(SUBSTITUTE(
  MID(Data1!L27, FIND("H", Data1!L27)+1, FIND("L", Data1!L27)-FIND("H", Data1!L27)-1),
"Ø","0"),
" ",""))</f>
        <v>58</v>
      </c>
      <c r="N30" s="3">
        <f>VALUE(SUBSTITUTE(SUBSTITUTE(
  MID(Data1!M27, FIND("H", Data1!M27)+1, FIND("L", Data1!M27)-FIND("H", Data1!M27)-1),
"Ø","0"),
" ",""))</f>
        <v>41</v>
      </c>
      <c r="O30" s="3">
        <f>VALUE(SUBSTITUTE(SUBSTITUTE(
  MID(Data1!N27, FIND("H", Data1!N27)+1, FIND("L", Data1!N27)-FIND("H", Data1!N27)-1),
"Ø","0"),
" ",""))</f>
        <v>27</v>
      </c>
    </row>
    <row r="31" spans="2:15">
      <c r="B31" s="9" t="str">
        <v>Nashville</v>
      </c>
      <c r="C31" s="3"/>
      <c r="D31" s="3">
        <f>VALUE(SUBSTITUTE(SUBSTITUTE(
  MID(Data1!C28, FIND("H", Data1!C28)+1, FIND("L", Data1!C28)-FIND("H", Data1!C28)-1),
"Ø","0"),
" ",""))</f>
        <v>47</v>
      </c>
      <c r="E31" s="3">
        <f>VALUE(SUBSTITUTE(SUBSTITUTE(
  MID(Data1!D28, FIND("H", Data1!D28)+1, FIND("L", Data1!D28)-FIND("H", Data1!D28)-1),
"Ø","0"),
" ",""))</f>
        <v>52</v>
      </c>
      <c r="F31" s="3">
        <f>VALUE(SUBSTITUTE(SUBSTITUTE(
  MID(Data1!E28, FIND("H", Data1!E28)+1, FIND("L", Data1!E28)-FIND("H", Data1!E28)-1),
"Ø","0"),
" ",""))</f>
        <v>61</v>
      </c>
      <c r="G31" s="3">
        <f>VALUE(SUBSTITUTE(SUBSTITUTE(
  MID(Data1!F28, FIND("H", Data1!F28)+1, FIND("L", Data1!F28)-FIND("H", Data1!F28)-1),
"Ø","0"),
" ",""))</f>
        <v>71</v>
      </c>
      <c r="H31" s="3">
        <f>VALUE(SUBSTITUTE(SUBSTITUTE(
  MID(Data1!G28, FIND("H", Data1!G28)+1, FIND("L", Data1!G28)-FIND("H", Data1!G28)-1),
"Ø","0"),
" ",""))</f>
        <v>78</v>
      </c>
      <c r="I31" s="3">
        <f>VALUE(SUBSTITUTE(SUBSTITUTE(
  MID(Data1!H28, FIND("H", Data1!H28)+1, FIND("L", Data1!H28)-FIND("H", Data1!H28)-1),
"Ø","0"),
" ",""))</f>
        <v>86</v>
      </c>
      <c r="J31" s="3">
        <f>VALUE(SUBSTITUTE(SUBSTITUTE(
  MID(Data1!I28, FIND("H", Data1!I28)+1, FIND("L", Data1!I28)-FIND("H", Data1!I28)-1),
"Ø","0"),
" ",""))</f>
        <v>89</v>
      </c>
      <c r="K31" s="3">
        <f>VALUE(SUBSTITUTE(SUBSTITUTE(
  MID(Data1!J28, FIND("H", Data1!J28)+1, FIND("L", Data1!J28)-FIND("H", Data1!J28)-1),
"Ø","0"),
" ",""))</f>
        <v>89</v>
      </c>
      <c r="L31" s="3">
        <f>VALUE(SUBSTITUTE(SUBSTITUTE(
  MID(Data1!K28, FIND("H", Data1!K28)+1, FIND("L", Data1!K28)-FIND("H", Data1!K28)-1),
"Ø","0"),
" ",""))</f>
        <v>82</v>
      </c>
      <c r="M31" s="3">
        <f>VALUE(SUBSTITUTE(SUBSTITUTE(
  MID(Data1!L28, FIND("H", Data1!L28)+1, FIND("L", Data1!L28)-FIND("H", Data1!L28)-1),
"Ø","0"),
" ",""))</f>
        <v>72</v>
      </c>
      <c r="N31" s="3">
        <f>VALUE(SUBSTITUTE(SUBSTITUTE(
  MID(Data1!M28, FIND("H", Data1!M28)+1, FIND("L", Data1!M28)-FIND("H", Data1!M28)-1),
"Ø","0"),
" ",""))</f>
        <v>60</v>
      </c>
      <c r="O31" s="3">
        <f>VALUE(SUBSTITUTE(SUBSTITUTE(
  MID(Data1!N28, FIND("H", Data1!N28)+1, FIND("L", Data1!N28)-FIND("H", Data1!N28)-1),
"Ø","0"),
" ",""))</f>
        <v>50</v>
      </c>
    </row>
    <row r="32" spans="2:15">
      <c r="B32" s="9" t="str">
        <v>New Orleans</v>
      </c>
      <c r="C32" s="3"/>
      <c r="D32" s="3">
        <f>VALUE(SUBSTITUTE(SUBSTITUTE(
  MID(Data1!C29, FIND("H", Data1!C29)+1, FIND("L", Data1!C29)-FIND("H", Data1!C29)-1),
"Ø","0"),
" ",""))</f>
        <v>62</v>
      </c>
      <c r="E32" s="3">
        <f>VALUE(SUBSTITUTE(SUBSTITUTE(
  MID(Data1!D29, FIND("H", Data1!D29)+1, FIND("L", Data1!D29)-FIND("H", Data1!D29)-1),
"Ø","0"),
" ",""))</f>
        <v>65</v>
      </c>
      <c r="F32" s="3">
        <f>VALUE(SUBSTITUTE(SUBSTITUTE(
  MID(Data1!E29, FIND("H", Data1!E29)+1, FIND("L", Data1!E29)-FIND("H", Data1!E29)-1),
"Ø","0"),
" ",""))</f>
        <v>72</v>
      </c>
      <c r="G32" s="3">
        <f>VALUE(SUBSTITUTE(SUBSTITUTE(
  MID(Data1!F29, FIND("H", Data1!F29)+1, FIND("L", Data1!F29)-FIND("H", Data1!F29)-1),
"Ø","0"),
" ",""))</f>
        <v>78</v>
      </c>
      <c r="H32" s="3">
        <f>VALUE(SUBSTITUTE(SUBSTITUTE(
  MID(Data1!G29, FIND("H", Data1!G29)+1, FIND("L", Data1!G29)-FIND("H", Data1!G29)-1),
"Ø","0"),
" ",""))</f>
        <v>85</v>
      </c>
      <c r="I32" s="3">
        <f>VALUE(SUBSTITUTE(SUBSTITUTE(
  MID(Data1!H29, FIND("H", Data1!H29)+1, FIND("L", Data1!H29)-FIND("H", Data1!H29)-1),
"Ø","0"),
" ",""))</f>
        <v>90</v>
      </c>
      <c r="J32" s="3">
        <f>VALUE(SUBSTITUTE(SUBSTITUTE(
  MID(Data1!I29, FIND("H", Data1!I29)+1, FIND("L", Data1!I29)-FIND("H", Data1!I29)-1),
"Ø","0"),
" ",""))</f>
        <v>91</v>
      </c>
      <c r="K32" s="3">
        <f>VALUE(SUBSTITUTE(SUBSTITUTE(
  MID(Data1!J29, FIND("H", Data1!J29)+1, FIND("L", Data1!J29)-FIND("H", Data1!J29)-1),
"Ø","0"),
" ",""))</f>
        <v>91</v>
      </c>
      <c r="L32" s="3">
        <f>VALUE(SUBSTITUTE(SUBSTITUTE(
  MID(Data1!K29, FIND("H", Data1!K29)+1, FIND("L", Data1!K29)-FIND("H", Data1!K29)-1),
"Ø","0"),
" ",""))</f>
        <v>88</v>
      </c>
      <c r="M32" s="3">
        <f>VALUE(SUBSTITUTE(SUBSTITUTE(
  MID(Data1!L29, FIND("H", Data1!L29)+1, FIND("L", Data1!L29)-FIND("H", Data1!L29)-1),
"Ø","0"),
" ",""))</f>
        <v>80</v>
      </c>
      <c r="N32" s="3">
        <f>VALUE(SUBSTITUTE(SUBSTITUTE(
  MID(Data1!M29, FIND("H", Data1!M29)+1, FIND("L", Data1!M29)-FIND("H", Data1!M29)-1),
"Ø","0"),
" ",""))</f>
        <v>72</v>
      </c>
      <c r="O32" s="3">
        <f>VALUE(SUBSTITUTE(SUBSTITUTE(
  MID(Data1!N29, FIND("H", Data1!N29)+1, FIND("L", Data1!N29)-FIND("H", Data1!N29)-1),
"Ø","0"),
" ",""))</f>
        <v>64</v>
      </c>
    </row>
    <row r="33" spans="2:15">
      <c r="B33" s="9" t="str">
        <v>New York</v>
      </c>
      <c r="C33" s="3"/>
      <c r="D33" s="3">
        <f>VALUE(SUBSTITUTE(SUBSTITUTE(
  MID(Data1!C30, FIND("H", Data1!C30)+1, FIND("L", Data1!C30)-FIND("H", Data1!C30)-1),
"Ø","0"),
" ",""))</f>
        <v>38</v>
      </c>
      <c r="E33" s="3">
        <f>VALUE(SUBSTITUTE(SUBSTITUTE(
  MID(Data1!D30, FIND("H", Data1!D30)+1, FIND("L", Data1!D30)-FIND("H", Data1!D30)-1),
"Ø","0"),
" ",""))</f>
        <v>42</v>
      </c>
      <c r="F33" s="3">
        <f>VALUE(SUBSTITUTE(SUBSTITUTE(
  MID(Data1!E30, FIND("H", Data1!E30)+1, FIND("L", Data1!E30)-FIND("H", Data1!E30)-1),
"Ø","0"),
" ",""))</f>
        <v>50</v>
      </c>
      <c r="G33" s="3">
        <f>VALUE(SUBSTITUTE(SUBSTITUTE(
  MID(Data1!F30, FIND("H", Data1!F30)+1, FIND("L", Data1!F30)-FIND("H", Data1!F30)-1),
"Ø","0"),
" ",""))</f>
        <v>61</v>
      </c>
      <c r="H33" s="3">
        <f>VALUE(SUBSTITUTE(SUBSTITUTE(
  MID(Data1!G30, FIND("H", Data1!G30)+1, FIND("L", Data1!G30)-FIND("H", Data1!G30)-1),
"Ø","0"),
" ",""))</f>
        <v>71</v>
      </c>
      <c r="I33" s="3">
        <f>VALUE(SUBSTITUTE(SUBSTITUTE(
  MID(Data1!H30, FIND("H", Data1!H30)+1, FIND("L", Data1!H30)-FIND("H", Data1!H30)-1),
"Ø","0"),
" ",""))</f>
        <v>79</v>
      </c>
      <c r="J33" s="3">
        <f>VALUE(SUBSTITUTE(SUBSTITUTE(
  MID(Data1!I30, FIND("H", Data1!I30)+1, FIND("L", Data1!I30)-FIND("H", Data1!I30)-1),
"Ø","0"),
" ",""))</f>
        <v>84</v>
      </c>
      <c r="K33" s="3">
        <f>VALUE(SUBSTITUTE(SUBSTITUTE(
  MID(Data1!J30, FIND("H", Data1!J30)+1, FIND("L", Data1!J30)-FIND("H", Data1!J30)-1),
"Ø","0"),
" ",""))</f>
        <v>83</v>
      </c>
      <c r="L33" s="3">
        <f>VALUE(SUBSTITUTE(SUBSTITUTE(
  MID(Data1!K30, FIND("H", Data1!K30)+1, FIND("L", Data1!K30)-FIND("H", Data1!K30)-1),
"Ø","0"),
" ",""))</f>
        <v>75</v>
      </c>
      <c r="M33" s="3">
        <f>VALUE(SUBSTITUTE(SUBSTITUTE(
  MID(Data1!L30, FIND("H", Data1!L30)+1, FIND("L", Data1!L30)-FIND("H", Data1!L30)-1),
"Ø","0"),
" ",""))</f>
        <v>64</v>
      </c>
      <c r="N33" s="3">
        <f>VALUE(SUBSTITUTE(SUBSTITUTE(
  MID(Data1!M30, FIND("H", Data1!M30)+1, FIND("L", Data1!M30)-FIND("H", Data1!M30)-1),
"Ø","0"),
" ",""))</f>
        <v>54</v>
      </c>
      <c r="O33" s="3">
        <f>VALUE(SUBSTITUTE(SUBSTITUTE(
  MID(Data1!N30, FIND("H", Data1!N30)+1, FIND("L", Data1!N30)-FIND("H", Data1!N30)-1),
"Ø","0"),
" ",""))</f>
        <v>43</v>
      </c>
    </row>
    <row r="34" spans="2:15">
      <c r="B34" s="9" t="str">
        <v>Oklahoma City</v>
      </c>
      <c r="C34" s="3"/>
      <c r="D34" s="3">
        <f>VALUE(SUBSTITUTE(SUBSTITUTE(
  MID(Data1!C31, FIND("H", Data1!C31)+1, FIND("L", Data1!C31)-FIND("H", Data1!C31)-1),
"Ø","0"),
" ",""))</f>
        <v>50</v>
      </c>
      <c r="E34" s="3">
        <f>VALUE(SUBSTITUTE(SUBSTITUTE(
  MID(Data1!D31, FIND("H", Data1!D31)+1, FIND("L", Data1!D31)-FIND("H", Data1!D31)-1),
"Ø","0"),
" ",""))</f>
        <v>55</v>
      </c>
      <c r="F34" s="3">
        <f>VALUE(SUBSTITUTE(SUBSTITUTE(
  MID(Data1!E31, FIND("H", Data1!E31)+1, FIND("L", Data1!E31)-FIND("H", Data1!E31)-1),
"Ø","0"),
" ",""))</f>
        <v>63</v>
      </c>
      <c r="G34" s="3">
        <f>VALUE(SUBSTITUTE(SUBSTITUTE(
  MID(Data1!F31, FIND("H", Data1!F31)+1, FIND("L", Data1!F31)-FIND("H", Data1!F31)-1),
"Ø","0"),
" ",""))</f>
        <v>72</v>
      </c>
      <c r="H34" s="3">
        <f>VALUE(SUBSTITUTE(SUBSTITUTE(
  MID(Data1!G31, FIND("H", Data1!G31)+1, FIND("L", Data1!G31)-FIND("H", Data1!G31)-1),
"Ø","0"),
" ",""))</f>
        <v>80</v>
      </c>
      <c r="I34" s="3">
        <f>VALUE(SUBSTITUTE(SUBSTITUTE(
  MID(Data1!H31, FIND("H", Data1!H31)+1, FIND("L", Data1!H31)-FIND("H", Data1!H31)-1),
"Ø","0"),
" ",""))</f>
        <v>88</v>
      </c>
      <c r="J34" s="3">
        <f>VALUE(SUBSTITUTE(SUBSTITUTE(
  MID(Data1!I31, FIND("H", Data1!I31)+1, FIND("L", Data1!I31)-FIND("H", Data1!I31)-1),
"Ø","0"),
" ",""))</f>
        <v>94</v>
      </c>
      <c r="K34" s="3">
        <f>VALUE(SUBSTITUTE(SUBSTITUTE(
  MID(Data1!J31, FIND("H", Data1!J31)+1, FIND("L", Data1!J31)-FIND("H", Data1!J31)-1),
"Ø","0"),
" ",""))</f>
        <v>93</v>
      </c>
      <c r="L34" s="3">
        <f>VALUE(SUBSTITUTE(SUBSTITUTE(
  MID(Data1!K31, FIND("H", Data1!K31)+1, FIND("L", Data1!K31)-FIND("H", Data1!K31)-1),
"Ø","0"),
" ",""))</f>
        <v>85</v>
      </c>
      <c r="M34" s="3">
        <f>VALUE(SUBSTITUTE(SUBSTITUTE(
  MID(Data1!L31, FIND("H", Data1!L31)+1, FIND("L", Data1!L31)-FIND("H", Data1!L31)-1),
"Ø","0"),
" ",""))</f>
        <v>73</v>
      </c>
      <c r="N34" s="3">
        <f>VALUE(SUBSTITUTE(SUBSTITUTE(
  MID(Data1!M31, FIND("H", Data1!M31)+1, FIND("L", Data1!M31)-FIND("H", Data1!M31)-1),
"Ø","0"),
" ",""))</f>
        <v>62</v>
      </c>
      <c r="O34" s="3">
        <f>VALUE(SUBSTITUTE(SUBSTITUTE(
  MID(Data1!N31, FIND("H", Data1!N31)+1, FIND("L", Data1!N31)-FIND("H", Data1!N31)-1),
"Ø","0"),
" ",""))</f>
        <v>51</v>
      </c>
    </row>
    <row r="35" spans="2:15">
      <c r="B35" s="9" t="str">
        <v>Orlando</v>
      </c>
      <c r="C35" s="3"/>
      <c r="D35" s="3">
        <f>VALUE(SUBSTITUTE(SUBSTITUTE(
  MID(Data1!C32, FIND("H", Data1!C32)+1, FIND("L", Data1!C32)-FIND("H", Data1!C32)-1),
"Ø","0"),
" ",""))</f>
        <v>71</v>
      </c>
      <c r="E35" s="3">
        <f>VALUE(SUBSTITUTE(SUBSTITUTE(
  MID(Data1!D32, FIND("H", Data1!D32)+1, FIND("L", Data1!D32)-FIND("H", Data1!D32)-1),
"Ø","0"),
" ",""))</f>
        <v>74</v>
      </c>
      <c r="F35" s="3">
        <f>VALUE(SUBSTITUTE(SUBSTITUTE(
  MID(Data1!E32, FIND("H", Data1!E32)+1, FIND("L", Data1!E32)-FIND("H", Data1!E32)-1),
"Ø","0"),
" ",""))</f>
        <v>78</v>
      </c>
      <c r="G35" s="3">
        <f>VALUE(SUBSTITUTE(SUBSTITUTE(
  MID(Data1!F32, FIND("H", Data1!F32)+1, FIND("L", Data1!F32)-FIND("H", Data1!F32)-1),
"Ø","0"),
" ",""))</f>
        <v>83</v>
      </c>
      <c r="H35" s="3">
        <f>VALUE(SUBSTITUTE(SUBSTITUTE(
  MID(Data1!G32, FIND("H", Data1!G32)+1, FIND("L", Data1!G32)-FIND("H", Data1!G32)-1),
"Ø","0"),
" ",""))</f>
        <v>88</v>
      </c>
      <c r="I35" s="3">
        <f>VALUE(SUBSTITUTE(SUBSTITUTE(
  MID(Data1!H32, FIND("H", Data1!H32)+1, FIND("L", Data1!H32)-FIND("H", Data1!H32)-1),
"Ø","0"),
" ",""))</f>
        <v>91</v>
      </c>
      <c r="J35" s="3">
        <f>VALUE(SUBSTITUTE(SUBSTITUTE(
  MID(Data1!I32, FIND("H", Data1!I32)+1, FIND("L", Data1!I32)-FIND("H", Data1!I32)-1),
"Ø","0"),
" ",""))</f>
        <v>92</v>
      </c>
      <c r="K35" s="3">
        <f>VALUE(SUBSTITUTE(SUBSTITUTE(
  MID(Data1!J32, FIND("H", Data1!J32)+1, FIND("L", Data1!J32)-FIND("H", Data1!J32)-1),
"Ø","0"),
" ",""))</f>
        <v>92</v>
      </c>
      <c r="L35" s="3">
        <f>VALUE(SUBSTITUTE(SUBSTITUTE(
  MID(Data1!K32, FIND("H", Data1!K32)+1, FIND("L", Data1!K32)-FIND("H", Data1!K32)-1),
"Ø","0"),
" ",""))</f>
        <v>90</v>
      </c>
      <c r="M35" s="3">
        <f>VALUE(SUBSTITUTE(SUBSTITUTE(
  MID(Data1!L32, FIND("H", Data1!L32)+1, FIND("L", Data1!L32)-FIND("H", Data1!L32)-1),
"Ø","0"),
" ",""))</f>
        <v>85</v>
      </c>
      <c r="N35" s="3">
        <f>VALUE(SUBSTITUTE(SUBSTITUTE(
  MID(Data1!M32, FIND("H", Data1!M32)+1, FIND("L", Data1!M32)-FIND("H", Data1!M32)-1),
"Ø","0"),
" ",""))</f>
        <v>78</v>
      </c>
      <c r="O35" s="3">
        <f>VALUE(SUBSTITUTE(SUBSTITUTE(
  MID(Data1!N32, FIND("H", Data1!N32)+1, FIND("L", Data1!N32)-FIND("H", Data1!N32)-1),
"Ø","0"),
" ",""))</f>
        <v>73</v>
      </c>
    </row>
    <row r="36" spans="2:15">
      <c r="B36" s="9" t="str">
        <v>Philadelphia</v>
      </c>
      <c r="C36" s="3"/>
      <c r="D36" s="3">
        <f>VALUE(SUBSTITUTE(SUBSTITUTE(
  MID(Data1!C33, FIND("H", Data1!C33)+1, FIND("L", Data1!C33)-FIND("H", Data1!C33)-1),
"Ø","0"),
" ",""))</f>
        <v>40</v>
      </c>
      <c r="E36" s="3">
        <f>VALUE(SUBSTITUTE(SUBSTITUTE(
  MID(Data1!D33, FIND("H", Data1!D33)+1, FIND("L", Data1!D33)-FIND("H", Data1!D33)-1),
"Ø","0"),
" ",""))</f>
        <v>44</v>
      </c>
      <c r="F36" s="3">
        <f>VALUE(SUBSTITUTE(SUBSTITUTE(
  MID(Data1!E33, FIND("H", Data1!E33)+1, FIND("L", Data1!E33)-FIND("H", Data1!E33)-1),
"Ø","0"),
" ",""))</f>
        <v>53</v>
      </c>
      <c r="G36" s="3">
        <f>VALUE(SUBSTITUTE(SUBSTITUTE(
  MID(Data1!F33, FIND("H", Data1!F33)+1, FIND("L", Data1!F33)-FIND("H", Data1!F33)-1),
"Ø","0"),
" ",""))</f>
        <v>64</v>
      </c>
      <c r="H36" s="3">
        <f>VALUE(SUBSTITUTE(SUBSTITUTE(
  MID(Data1!G33, FIND("H", Data1!G33)+1, FIND("L", Data1!G33)-FIND("H", Data1!G33)-1),
"Ø","0"),
" ",""))</f>
        <v>74</v>
      </c>
      <c r="I36" s="3">
        <f>VALUE(SUBSTITUTE(SUBSTITUTE(
  MID(Data1!H33, FIND("H", Data1!H33)+1, FIND("L", Data1!H33)-FIND("H", Data1!H33)-1),
"Ø","0"),
" ",""))</f>
        <v>83</v>
      </c>
      <c r="J36" s="3">
        <f>VALUE(SUBSTITUTE(SUBSTITUTE(
  MID(Data1!I33, FIND("H", Data1!I33)+1, FIND("L", Data1!I33)-FIND("H", Data1!I33)-1),
"Ø","0"),
" ",""))</f>
        <v>87</v>
      </c>
      <c r="K36" s="3">
        <f>VALUE(SUBSTITUTE(SUBSTITUTE(
  MID(Data1!J33, FIND("H", Data1!J33)+1, FIND("L", Data1!J33)-FIND("H", Data1!J33)-1),
"Ø","0"),
" ",""))</f>
        <v>85</v>
      </c>
      <c r="L36" s="3">
        <f>VALUE(SUBSTITUTE(SUBSTITUTE(
  MID(Data1!K33, FIND("H", Data1!K33)+1, FIND("L", Data1!K33)-FIND("H", Data1!K33)-1),
"Ø","0"),
" ",""))</f>
        <v>78</v>
      </c>
      <c r="M36" s="3">
        <f>VALUE(SUBSTITUTE(SUBSTITUTE(
  MID(Data1!L33, FIND("H", Data1!L33)+1, FIND("L", Data1!L33)-FIND("H", Data1!L33)-1),
"Ø","0"),
" ",""))</f>
        <v>67</v>
      </c>
      <c r="N36" s="3">
        <f>VALUE(SUBSTITUTE(SUBSTITUTE(
  MID(Data1!M33, FIND("H", Data1!M33)+1, FIND("L", Data1!M33)-FIND("H", Data1!M33)-1),
"Ø","0"),
" ",""))</f>
        <v>56</v>
      </c>
      <c r="O36" s="3">
        <f>VALUE(SUBSTITUTE(SUBSTITUTE(
  MID(Data1!N33, FIND("H", Data1!N33)+1, FIND("L", Data1!N33)-FIND("H", Data1!N33)-1),
"Ø","0"),
" ",""))</f>
        <v>45</v>
      </c>
    </row>
    <row r="37" spans="2:15">
      <c r="B37" s="9" t="str">
        <v>Phoenix</v>
      </c>
      <c r="C37" s="3"/>
      <c r="D37" s="3">
        <f>VALUE(SUBSTITUTE(SUBSTITUTE(
  MID(Data1!C34, FIND("H", Data1!C34)+1, FIND("L", Data1!C34)-FIND("H", Data1!C34)-1),
"Ø","0"),
" ",""))</f>
        <v>69</v>
      </c>
      <c r="E37" s="3">
        <f>VALUE(SUBSTITUTE(SUBSTITUTE(
  MID(Data1!D34, FIND("H", Data1!D34)+1, FIND("L", Data1!D34)-FIND("H", Data1!D34)-1),
"Ø","0"),
" ",""))</f>
        <v>72</v>
      </c>
      <c r="F37" s="3">
        <f>VALUE(SUBSTITUTE(SUBSTITUTE(
  MID(Data1!E34, FIND("H", Data1!E34)+1, FIND("L", Data1!E34)-FIND("H", Data1!E34)-1),
"Ø","0"),
" ",""))</f>
        <v>78</v>
      </c>
      <c r="G37" s="3">
        <f>VALUE(SUBSTITUTE(SUBSTITUTE(
  MID(Data1!F34, FIND("H", Data1!F34)+1, FIND("L", Data1!F34)-FIND("H", Data1!F34)-1),
"Ø","0"),
" ",""))</f>
        <v>86</v>
      </c>
      <c r="H37" s="3">
        <f>VALUE(SUBSTITUTE(SUBSTITUTE(
  MID(Data1!G34, FIND("H", Data1!G34)+1, FIND("L", Data1!G34)-FIND("H", Data1!G34)-1),
"Ø","0"),
" ",""))</f>
        <v>95</v>
      </c>
      <c r="I37" s="3">
        <f>VALUE(SUBSTITUTE(SUBSTITUTE(
  MID(Data1!H34, FIND("H", Data1!H34)+1, FIND("L", Data1!H34)-FIND("H", Data1!H34)-1),
"Ø","0"),
" ",""))</f>
        <v>104</v>
      </c>
      <c r="J37" s="3">
        <f>VALUE(SUBSTITUTE(SUBSTITUTE(
  MID(Data1!I34, FIND("H", Data1!I34)+1, FIND("L", Data1!I34)-FIND("H", Data1!I34)-1),
"Ø","0"),
" ",""))</f>
        <v>106</v>
      </c>
      <c r="K37" s="3">
        <f>VALUE(SUBSTITUTE(SUBSTITUTE(
  MID(Data1!J34, FIND("H", Data1!J34)+1, FIND("L", Data1!J34)-FIND("H", Data1!J34)-1),
"Ø","0"),
" ",""))</f>
        <v>104</v>
      </c>
      <c r="L37" s="3">
        <f>VALUE(SUBSTITUTE(SUBSTITUTE(
  MID(Data1!K34, FIND("H", Data1!K34)+1, FIND("L", Data1!K34)-FIND("H", Data1!K34)-1),
"Ø","0"),
" ",""))</f>
        <v>100</v>
      </c>
      <c r="M37" s="3">
        <f>VALUE(SUBSTITUTE(SUBSTITUTE(
  MID(Data1!L34, FIND("H", Data1!L34)+1, FIND("L", Data1!L34)-FIND("H", Data1!L34)-1),
"Ø","0"),
" ",""))</f>
        <v>89</v>
      </c>
      <c r="N37" s="3">
        <f>VALUE(SUBSTITUTE(SUBSTITUTE(
  MID(Data1!M34, FIND("H", Data1!M34)+1, FIND("L", Data1!M34)-FIND("H", Data1!M34)-1),
"Ø","0"),
" ",""))</f>
        <v>76</v>
      </c>
      <c r="O37" s="3">
        <f>VALUE(SUBSTITUTE(SUBSTITUTE(
  MID(Data1!N34, FIND("H", Data1!N34)+1, FIND("L", Data1!N34)-FIND("H", Data1!N34)-1),
"Ø","0"),
" ",""))</f>
        <v>67</v>
      </c>
    </row>
    <row r="38" spans="2:15">
      <c r="B38" s="9" t="str">
        <v>Pittsburgh</v>
      </c>
      <c r="C38" s="3"/>
      <c r="D38" s="3">
        <f>VALUE(SUBSTITUTE(SUBSTITUTE(
  MID(Data1!C35, FIND("H", Data1!C35)+1, FIND("L", Data1!C35)-FIND("H", Data1!C35)-1),
"Ø","0"),
" ",""))</f>
        <v>36</v>
      </c>
      <c r="E38" s="3">
        <f>VALUE(SUBSTITUTE(SUBSTITUTE(
  MID(Data1!D35, FIND("H", Data1!D35)+1, FIND("L", Data1!D35)-FIND("H", Data1!D35)-1),
"Ø","0"),
" ",""))</f>
        <v>39</v>
      </c>
      <c r="F38" s="3">
        <f>VALUE(SUBSTITUTE(SUBSTITUTE(
  MID(Data1!E35, FIND("H", Data1!E35)+1, FIND("L", Data1!E35)-FIND("H", Data1!E35)-1),
"Ø","0"),
" ",""))</f>
        <v>49</v>
      </c>
      <c r="G38" s="3">
        <f>VALUE(SUBSTITUTE(SUBSTITUTE(
  MID(Data1!F35, FIND("H", Data1!F35)+1, FIND("L", Data1!F35)-FIND("H", Data1!F35)-1),
"Ø","0"),
" ",""))</f>
        <v>62</v>
      </c>
      <c r="H38" s="3">
        <f>VALUE(SUBSTITUTE(SUBSTITUTE(
  MID(Data1!G35, FIND("H", Data1!G35)+1, FIND("L", Data1!G35)-FIND("H", Data1!G35)-1),
"Ø","0"),
" ",""))</f>
        <v>71</v>
      </c>
      <c r="I38" s="3">
        <f>VALUE(SUBSTITUTE(SUBSTITUTE(
  MID(Data1!H35, FIND("H", Data1!H35)+1, FIND("L", Data1!H35)-FIND("H", Data1!H35)-1),
"Ø","0"),
" ",""))</f>
        <v>79</v>
      </c>
      <c r="J38" s="3">
        <f>VALUE(SUBSTITUTE(SUBSTITUTE(
  MID(Data1!I35, FIND("H", Data1!I35)+1, FIND("L", Data1!I35)-FIND("H", Data1!I35)-1),
"Ø","0"),
" ",""))</f>
        <v>83</v>
      </c>
      <c r="K38" s="3">
        <f>VALUE(SUBSTITUTE(SUBSTITUTE(
  MID(Data1!J35, FIND("H", Data1!J35)+1, FIND("L", Data1!J35)-FIND("H", Data1!J35)-1),
"Ø","0"),
" ",""))</f>
        <v>81</v>
      </c>
      <c r="L38" s="3">
        <f>VALUE(SUBSTITUTE(SUBSTITUTE(
  MID(Data1!K35, FIND("H", Data1!K35)+1, FIND("L", Data1!K35)-FIND("H", Data1!K35)-1),
"Ø","0"),
" ",""))</f>
        <v>74</v>
      </c>
      <c r="M38" s="3">
        <f>VALUE(SUBSTITUTE(SUBSTITUTE(
  MID(Data1!L35, FIND("H", Data1!L35)+1, FIND("L", Data1!L35)-FIND("H", Data1!L35)-1),
"Ø","0"),
" ",""))</f>
        <v>63</v>
      </c>
      <c r="N38" s="3">
        <f>VALUE(SUBSTITUTE(SUBSTITUTE(
  MID(Data1!M35, FIND("H", Data1!M35)+1, FIND("L", Data1!M35)-FIND("H", Data1!M35)-1),
"Ø","0"),
" ",""))</f>
        <v>51</v>
      </c>
      <c r="O38" s="3">
        <f>VALUE(SUBSTITUTE(SUBSTITUTE(
  MID(Data1!N35, FIND("H", Data1!N35)+1, FIND("L", Data1!N35)-FIND("H", Data1!N35)-1),
"Ø","0"),
" ",""))</f>
        <v>39</v>
      </c>
    </row>
    <row r="39" spans="2:15">
      <c r="B39" s="9" t="str">
        <v>Portland</v>
      </c>
      <c r="C39" s="3"/>
      <c r="D39" s="3">
        <f>VALUE(SUBSTITUTE(SUBSTITUTE(
  MID(Data1!C36, FIND("H", Data1!C36)+1, FIND("L", Data1!C36)-FIND("H", Data1!C36)-1),
"Ø","0"),
" ",""))</f>
        <v>47</v>
      </c>
      <c r="E39" s="3">
        <f>VALUE(SUBSTITUTE(SUBSTITUTE(
  MID(Data1!D36, FIND("H", Data1!D36)+1, FIND("L", Data1!D36)-FIND("H", Data1!D36)-1),
"Ø","0"),
" ",""))</f>
        <v>51</v>
      </c>
      <c r="F39" s="3">
        <f>VALUE(SUBSTITUTE(SUBSTITUTE(
  MID(Data1!E36, FIND("H", Data1!E36)+1, FIND("L", Data1!E36)-FIND("H", Data1!E36)-1),
"Ø","0"),
" ",""))</f>
        <v>57</v>
      </c>
      <c r="G39" s="3">
        <f>VALUE(SUBSTITUTE(SUBSTITUTE(
  MID(Data1!F36, FIND("H", Data1!F36)+1, FIND("L", Data1!F36)-FIND("H", Data1!F36)-1),
"Ø","0"),
" ",""))</f>
        <v>62</v>
      </c>
      <c r="H39" s="3">
        <f>VALUE(SUBSTITUTE(SUBSTITUTE(
  MID(Data1!G36, FIND("H", Data1!G36)+1, FIND("L", Data1!G36)-FIND("H", Data1!G36)-1),
"Ø","0"),
" ",""))</f>
        <v>69</v>
      </c>
      <c r="I39" s="3">
        <f>VALUE(SUBSTITUTE(SUBSTITUTE(
  MID(Data1!H36, FIND("H", Data1!H36)+1, FIND("L", Data1!H36)-FIND("H", Data1!H36)-1),
"Ø","0"),
" ",""))</f>
        <v>73</v>
      </c>
      <c r="J39" s="3">
        <f>VALUE(SUBSTITUTE(SUBSTITUTE(
  MID(Data1!I36, FIND("H", Data1!I36)+1, FIND("L", Data1!I36)-FIND("H", Data1!I36)-1),
"Ø","0"),
" ",""))</f>
        <v>81</v>
      </c>
      <c r="K39" s="3">
        <f>VALUE(SUBSTITUTE(SUBSTITUTE(
  MID(Data1!J36, FIND("H", Data1!J36)+1, FIND("L", Data1!J36)-FIND("H", Data1!J36)-1),
"Ø","0"),
" ",""))</f>
        <v>81</v>
      </c>
      <c r="L39" s="3">
        <f>VALUE(SUBSTITUTE(SUBSTITUTE(
  MID(Data1!K36, FIND("H", Data1!K36)+1, FIND("L", Data1!K36)-FIND("H", Data1!K36)-1),
"Ø","0"),
" ",""))</f>
        <v>75</v>
      </c>
      <c r="M39" s="3">
        <f>VALUE(SUBSTITUTE(SUBSTITUTE(
  MID(Data1!L36, FIND("H", Data1!L36)+1, FIND("L", Data1!L36)-FIND("H", Data1!L36)-1),
"Ø","0"),
" ",""))</f>
        <v>64</v>
      </c>
      <c r="N39" s="3">
        <f>VALUE(SUBSTITUTE(SUBSTITUTE(
  MID(Data1!M36, FIND("H", Data1!M36)+1, FIND("L", Data1!M36)-FIND("H", Data1!M36)-1),
"Ø","0"),
" ",""))</f>
        <v>52</v>
      </c>
      <c r="O39" s="3">
        <f>VALUE(SUBSTITUTE(SUBSTITUTE(
  MID(Data1!N36, FIND("H", Data1!N36)+1, FIND("L", Data1!N36)-FIND("H", Data1!N36)-1),
"Ø","0"),
" ",""))</f>
        <v>45</v>
      </c>
    </row>
    <row r="40" spans="2:15">
      <c r="B40" s="9" t="str">
        <v>Providence</v>
      </c>
      <c r="C40" s="3"/>
      <c r="D40" s="3">
        <f>VALUE(SUBSTITUTE(SUBSTITUTE(
  MID(Data1!C37, FIND("H", Data1!C37)+1, FIND("L", Data1!C37)-FIND("H", Data1!C37)-1),
"Ø","0"),
" ",""))</f>
        <v>37</v>
      </c>
      <c r="E40" s="3">
        <f>VALUE(SUBSTITUTE(SUBSTITUTE(
  MID(Data1!D37, FIND("H", Data1!D37)+1, FIND("L", Data1!D37)-FIND("H", Data1!D37)-1),
"Ø","0"),
" ",""))</f>
        <v>40</v>
      </c>
      <c r="F40" s="3">
        <f>VALUE(SUBSTITUTE(SUBSTITUTE(
  MID(Data1!E37, FIND("H", Data1!E37)+1, FIND("L", Data1!E37)-FIND("H", Data1!E37)-1),
"Ø","0"),
" ",""))</f>
        <v>48</v>
      </c>
      <c r="G40" s="3">
        <f>VALUE(SUBSTITUTE(SUBSTITUTE(
  MID(Data1!F37, FIND("H", Data1!F37)+1, FIND("L", Data1!F37)-FIND("H", Data1!F37)-1),
"Ø","0"),
" ",""))</f>
        <v>59</v>
      </c>
      <c r="H40" s="3">
        <f>VALUE(SUBSTITUTE(SUBSTITUTE(
  MID(Data1!G37, FIND("H", Data1!G37)+1, FIND("L", Data1!G37)-FIND("H", Data1!G37)-1),
"Ø","0"),
" ",""))</f>
        <v>68</v>
      </c>
      <c r="I40" s="3">
        <f>VALUE(SUBSTITUTE(SUBSTITUTE(
  MID(Data1!H37, FIND("H", Data1!H37)+1, FIND("L", Data1!H37)-FIND("H", Data1!H37)-1),
"Ø","0"),
" ",""))</f>
        <v>78</v>
      </c>
      <c r="J40" s="3">
        <f>VALUE(SUBSTITUTE(SUBSTITUTE(
  MID(Data1!I37, FIND("H", Data1!I37)+1, FIND("L", Data1!I37)-FIND("H", Data1!I37)-1),
"Ø","0"),
" ",""))</f>
        <v>83</v>
      </c>
      <c r="K40" s="3">
        <f>VALUE(SUBSTITUTE(SUBSTITUTE(
  MID(Data1!J37, FIND("H", Data1!J37)+1, FIND("L", Data1!J37)-FIND("H", Data1!J37)-1),
"Ø","0"),
" ",""))</f>
        <v>81</v>
      </c>
      <c r="L40" s="3">
        <f>VALUE(SUBSTITUTE(SUBSTITUTE(
  MID(Data1!K37, FIND("H", Data1!K37)+1, FIND("L", Data1!K37)-FIND("H", Data1!K37)-1),
"Ø","0"),
" ",""))</f>
        <v>74</v>
      </c>
      <c r="M40" s="3">
        <f>VALUE(SUBSTITUTE(SUBSTITUTE(
  MID(Data1!L37, FIND("H", Data1!L37)+1, FIND("L", Data1!L37)-FIND("H", Data1!L37)-1),
"Ø","0"),
" ",""))</f>
        <v>63</v>
      </c>
      <c r="N40" s="3">
        <f>VALUE(SUBSTITUTE(SUBSTITUTE(
  MID(Data1!M37, FIND("H", Data1!M37)+1, FIND("L", Data1!M37)-FIND("H", Data1!M37)-1),
"Ø","0"),
" ",""))</f>
        <v>53</v>
      </c>
      <c r="O40" s="3">
        <f>VALUE(SUBSTITUTE(SUBSTITUTE(
  MID(Data1!N37, FIND("H", Data1!N37)+1, FIND("L", Data1!N37)-FIND("H", Data1!N37)-1),
"Ø","0"),
" ",""))</f>
        <v>42</v>
      </c>
    </row>
    <row r="41" spans="2:15">
      <c r="B41" s="9" t="str">
        <v>Raleigh</v>
      </c>
      <c r="C41" s="3"/>
      <c r="D41" s="3">
        <f>VALUE(SUBSTITUTE(SUBSTITUTE(
  MID(Data1!C38, FIND("H", Data1!C38)+1, FIND("L", Data1!C38)-FIND("H", Data1!C38)-1),
"Ø","0"),
" ",""))</f>
        <v>51</v>
      </c>
      <c r="E41" s="3">
        <f>VALUE(SUBSTITUTE(SUBSTITUTE(
  MID(Data1!D38, FIND("H", Data1!D38)+1, FIND("L", Data1!D38)-FIND("H", Data1!D38)-1),
"Ø","0"),
" ",""))</f>
        <v>55</v>
      </c>
      <c r="F41" s="3">
        <f>VALUE(SUBSTITUTE(SUBSTITUTE(
  MID(Data1!E38, FIND("H", Data1!E38)+1, FIND("L", Data1!E38)-FIND("H", Data1!E38)-1),
"Ø","0"),
" ",""))</f>
        <v>63</v>
      </c>
      <c r="G41" s="3">
        <f>VALUE(SUBSTITUTE(SUBSTITUTE(
  MID(Data1!F38, FIND("H", Data1!F38)+1, FIND("L", Data1!F38)-FIND("H", Data1!F38)-1),
"Ø","0"),
" ",""))</f>
        <v>72</v>
      </c>
      <c r="H41" s="3">
        <f>VALUE(SUBSTITUTE(SUBSTITUTE(
  MID(Data1!G38, FIND("H", Data1!G38)+1, FIND("L", Data1!G38)-FIND("H", Data1!G38)-1),
"Ø","0"),
" ",""))</f>
        <v>80</v>
      </c>
      <c r="I41" s="3">
        <f>VALUE(SUBSTITUTE(SUBSTITUTE(
  MID(Data1!H38, FIND("H", Data1!H38)+1, FIND("L", Data1!H38)-FIND("H", Data1!H38)-1),
"Ø","0"),
" ",""))</f>
        <v>87</v>
      </c>
      <c r="J41" s="3">
        <f>VALUE(SUBSTITUTE(SUBSTITUTE(
  MID(Data1!I38, FIND("H", Data1!I38)+1, FIND("L", Data1!I38)-FIND("H", Data1!I38)-1),
"Ø","0"),
" ",""))</f>
        <v>90</v>
      </c>
      <c r="K41" s="3">
        <f>VALUE(SUBSTITUTE(SUBSTITUTE(
  MID(Data1!J38, FIND("H", Data1!J38)+1, FIND("L", Data1!J38)-FIND("H", Data1!J38)-1),
"Ø","0"),
" ",""))</f>
        <v>89</v>
      </c>
      <c r="L41" s="3">
        <f>VALUE(SUBSTITUTE(SUBSTITUTE(
  MID(Data1!K38, FIND("H", Data1!K38)+1, FIND("L", Data1!K38)-FIND("H", Data1!K38)-1),
"Ø","0"),
" ",""))</f>
        <v>82</v>
      </c>
      <c r="M41" s="3">
        <f>VALUE(SUBSTITUTE(SUBSTITUTE(
  MID(Data1!L38, FIND("H", Data1!L38)+1, FIND("L", Data1!L38)-FIND("H", Data1!L38)-1),
"Ø","0"),
" ",""))</f>
        <v>73</v>
      </c>
      <c r="N41" s="3">
        <f>VALUE(SUBSTITUTE(SUBSTITUTE(
  MID(Data1!M38, FIND("H", Data1!M38)+1, FIND("L", Data1!M38)-FIND("H", Data1!M38)-1),
"Ø","0"),
" ",""))</f>
        <v>63</v>
      </c>
      <c r="O41" s="3">
        <f>VALUE(SUBSTITUTE(SUBSTITUTE(
  MID(Data1!N38, FIND("H", Data1!N38)+1, FIND("L", Data1!N38)-FIND("H", Data1!N38)-1),
"Ø","0"),
" ",""))</f>
        <v>54</v>
      </c>
    </row>
    <row r="42" spans="2:15">
      <c r="B42" s="9" t="str">
        <v>Richmond</v>
      </c>
      <c r="C42" s="3"/>
      <c r="D42" s="3">
        <f>VALUE(SUBSTITUTE(SUBSTITUTE(
  MID(Data1!C39, FIND("H", Data1!C39)+1, FIND("L", Data1!C39)-FIND("H", Data1!C39)-1),
"Ø","0"),
" ",""))</f>
        <v>47</v>
      </c>
      <c r="E42" s="3">
        <f>VALUE(SUBSTITUTE(SUBSTITUTE(
  MID(Data1!D39, FIND("H", Data1!D39)+1, FIND("L", Data1!D39)-FIND("H", Data1!D39)-1),
"Ø","0"),
" ",""))</f>
        <v>51</v>
      </c>
      <c r="F42" s="3">
        <f>VALUE(SUBSTITUTE(SUBSTITUTE(
  MID(Data1!E39, FIND("H", Data1!E39)+1, FIND("L", Data1!E39)-FIND("H", Data1!E39)-1),
"Ø","0"),
" ",""))</f>
        <v>60</v>
      </c>
      <c r="G42" s="3">
        <f>VALUE(SUBSTITUTE(SUBSTITUTE(
  MID(Data1!F39, FIND("H", Data1!F39)+1, FIND("L", Data1!F39)-FIND("H", Data1!F39)-1),
"Ø","0"),
" ",""))</f>
        <v>70</v>
      </c>
      <c r="H42" s="3">
        <f>VALUE(SUBSTITUTE(SUBSTITUTE(
  MID(Data1!G39, FIND("H", Data1!G39)+1, FIND("L", Data1!G39)-FIND("H", Data1!G39)-1),
"Ø","0"),
" ",""))</f>
        <v>78</v>
      </c>
      <c r="I42" s="3">
        <f>VALUE(SUBSTITUTE(SUBSTITUTE(
  MID(Data1!H39, FIND("H", Data1!H39)+1, FIND("L", Data1!H39)-FIND("H", Data1!H39)-1),
"Ø","0"),
" ",""))</f>
        <v>86</v>
      </c>
      <c r="J42" s="3">
        <f>VALUE(SUBSTITUTE(SUBSTITUTE(
  MID(Data1!I39, FIND("H", Data1!I39)+1, FIND("L", Data1!I39)-FIND("H", Data1!I39)-1),
"Ø","0"),
" ",""))</f>
        <v>90</v>
      </c>
      <c r="K42" s="3">
        <f>VALUE(SUBSTITUTE(SUBSTITUTE(
  MID(Data1!J39, FIND("H", Data1!J39)+1, FIND("L", Data1!J39)-FIND("H", Data1!J39)-1),
"Ø","0"),
" ",""))</f>
        <v>88</v>
      </c>
      <c r="L42" s="3">
        <f>VALUE(SUBSTITUTE(SUBSTITUTE(
  MID(Data1!K39, FIND("H", Data1!K39)+1, FIND("L", Data1!K39)-FIND("H", Data1!K39)-1),
"Ø","0"),
" ",""))</f>
        <v>81</v>
      </c>
      <c r="M42" s="3">
        <f>VALUE(SUBSTITUTE(SUBSTITUTE(
  MID(Data1!L39, FIND("H", Data1!L39)+1, FIND("L", Data1!L39)-FIND("H", Data1!L39)-1),
"Ø","0"),
" ",""))</f>
        <v>71</v>
      </c>
      <c r="N42" s="3">
        <f>VALUE(SUBSTITUTE(SUBSTITUTE(
  MID(Data1!M39, FIND("H", Data1!M39)+1, FIND("L", Data1!M39)-FIND("H", Data1!M39)-1),
"Ø","0"),
" ",""))</f>
        <v>61</v>
      </c>
      <c r="O42" s="3">
        <f>VALUE(SUBSTITUTE(SUBSTITUTE(
  MID(Data1!N39, FIND("H", Data1!N39)+1, FIND("L", Data1!N39)-FIND("H", Data1!N39)-1),
"Ø","0"),
" ",""))</f>
        <v>51</v>
      </c>
    </row>
    <row r="43" spans="2:15">
      <c r="B43" s="9" t="str">
        <v>Riverside</v>
      </c>
      <c r="C43" s="3"/>
      <c r="D43" s="3">
        <f>VALUE(SUBSTITUTE(SUBSTITUTE(
  MID(Data1!C40, FIND("H", Data1!C40)+1, FIND("L", Data1!C40)-FIND("H", Data1!C40)-1),
"Ø","0"),
" ",""))</f>
        <v>69</v>
      </c>
      <c r="E43" s="3">
        <f>VALUE(SUBSTITUTE(SUBSTITUTE(
  MID(Data1!D40, FIND("H", Data1!D40)+1, FIND("L", Data1!D40)-FIND("H", Data1!D40)-1),
"Ø","0"),
" ",""))</f>
        <v>70</v>
      </c>
      <c r="F43" s="3">
        <f>VALUE(SUBSTITUTE(SUBSTITUTE(
  MID(Data1!E40, FIND("H", Data1!E40)+1, FIND("L", Data1!E40)-FIND("H", Data1!E40)-1),
"Ø","0"),
" ",""))</f>
        <v>73</v>
      </c>
      <c r="G43" s="3">
        <f>VALUE(SUBSTITUTE(SUBSTITUTE(
  MID(Data1!F40, FIND("H", Data1!F40)+1, FIND("L", Data1!F40)-FIND("H", Data1!F40)-1),
"Ø","0"),
" ",""))</f>
        <v>78</v>
      </c>
      <c r="H43" s="3">
        <f>VALUE(SUBSTITUTE(SUBSTITUTE(
  MID(Data1!G40, FIND("H", Data1!G40)+1, FIND("L", Data1!G40)-FIND("H", Data1!G40)-1),
"Ø","0"),
" ",""))</f>
        <v>83</v>
      </c>
      <c r="I43" s="3">
        <f>VALUE(SUBSTITUTE(SUBSTITUTE(
  MID(Data1!H40, FIND("H", Data1!H40)+1, FIND("L", Data1!H40)-FIND("H", Data1!H40)-1),
"Ø","0"),
" ",""))</f>
        <v>89</v>
      </c>
      <c r="J43" s="3">
        <f>VALUE(SUBSTITUTE(SUBSTITUTE(
  MID(Data1!I40, FIND("H", Data1!I40)+1, FIND("L", Data1!I40)-FIND("H", Data1!I40)-1),
"Ø","0"),
" ",""))</f>
        <v>95</v>
      </c>
      <c r="K43" s="3">
        <f>VALUE(SUBSTITUTE(SUBSTITUTE(
  MID(Data1!J40, FIND("H", Data1!J40)+1, FIND("L", Data1!J40)-FIND("H", Data1!J40)-1),
"Ø","0"),
" ",""))</f>
        <v>96</v>
      </c>
      <c r="L43" s="3">
        <f>VALUE(SUBSTITUTE(SUBSTITUTE(
  MID(Data1!K40, FIND("H", Data1!K40)+1, FIND("L", Data1!K40)-FIND("H", Data1!K40)-1),
"Ø","0"),
" ",""))</f>
        <v>92</v>
      </c>
      <c r="M43" s="3">
        <f>VALUE(SUBSTITUTE(SUBSTITUTE(
  MID(Data1!L40, FIND("H", Data1!L40)+1, FIND("L", Data1!L40)-FIND("H", Data1!L40)-1),
"Ø","0"),
" ",""))</f>
        <v>83</v>
      </c>
      <c r="N43" s="3">
        <f>VALUE(SUBSTITUTE(SUBSTITUTE(
  MID(Data1!M40, FIND("H", Data1!M40)+1, FIND("L", Data1!M40)-FIND("H", Data1!M40)-1),
"Ø","0"),
" ",""))</f>
        <v>75</v>
      </c>
      <c r="O43" s="3">
        <f>VALUE(SUBSTITUTE(SUBSTITUTE(
  MID(Data1!N40, FIND("H", Data1!N40)+1, FIND("L", Data1!N40)-FIND("H", Data1!N40)-1),
"Ø","0"),
" ",""))</f>
        <v>69</v>
      </c>
    </row>
    <row r="44" spans="2:15">
      <c r="B44" s="9" t="str">
        <v>Rochester</v>
      </c>
      <c r="C44" s="3"/>
      <c r="D44" s="3">
        <f>VALUE(SUBSTITUTE(SUBSTITUTE(
  MID(Data1!C41, FIND("H", Data1!C41)+1, FIND("L", Data1!C41)-FIND("H", Data1!C41)-1),
"Ø","0"),
" ",""))</f>
        <v>32</v>
      </c>
      <c r="E44" s="3">
        <f>VALUE(SUBSTITUTE(SUBSTITUTE(
  MID(Data1!D41, FIND("H", Data1!D41)+1, FIND("L", Data1!D41)-FIND("H", Data1!D41)-1),
"Ø","0"),
" ",""))</f>
        <v>34</v>
      </c>
      <c r="F44" s="3">
        <f>VALUE(SUBSTITUTE(SUBSTITUTE(
  MID(Data1!E41, FIND("H", Data1!E41)+1, FIND("L", Data1!E41)-FIND("H", Data1!E41)-1),
"Ø","0"),
" ",""))</f>
        <v>43</v>
      </c>
      <c r="G44" s="3">
        <f>VALUE(SUBSTITUTE(SUBSTITUTE(
  MID(Data1!F41, FIND("H", Data1!F41)+1, FIND("L", Data1!F41)-FIND("H", Data1!F41)-1),
"Ø","0"),
" ",""))</f>
        <v>56</v>
      </c>
      <c r="H44" s="3">
        <f>VALUE(SUBSTITUTE(SUBSTITUTE(
  MID(Data1!G41, FIND("H", Data1!G41)+1, FIND("L", Data1!G41)-FIND("H", Data1!G41)-1),
"Ø","0"),
" ",""))</f>
        <v>68</v>
      </c>
      <c r="I44" s="3">
        <f>VALUE(SUBSTITUTE(SUBSTITUTE(
  MID(Data1!H41, FIND("H", Data1!H41)+1, FIND("L", Data1!H41)-FIND("H", Data1!H41)-1),
"Ø","0"),
" ",""))</f>
        <v>77</v>
      </c>
      <c r="J44" s="3">
        <f>VALUE(SUBSTITUTE(SUBSTITUTE(
  MID(Data1!I41, FIND("H", Data1!I41)+1, FIND("L", Data1!I41)-FIND("H", Data1!I41)-1),
"Ø","0"),
" ",""))</f>
        <v>81</v>
      </c>
      <c r="K44" s="3">
        <f>VALUE(SUBSTITUTE(SUBSTITUTE(
  MID(Data1!J41, FIND("H", Data1!J41)+1, FIND("L", Data1!J41)-FIND("H", Data1!J41)-1),
"Ø","0"),
" ",""))</f>
        <v>79</v>
      </c>
      <c r="L44" s="3">
        <f>VALUE(SUBSTITUTE(SUBSTITUTE(
  MID(Data1!K41, FIND("H", Data1!K41)+1, FIND("L", Data1!K41)-FIND("H", Data1!K41)-1),
"Ø","0"),
" ",""))</f>
        <v>72</v>
      </c>
      <c r="M44" s="3">
        <f>VALUE(SUBSTITUTE(SUBSTITUTE(
  MID(Data1!L41, FIND("H", Data1!L41)+1, FIND("L", Data1!L41)-FIND("H", Data1!L41)-1),
"Ø","0"),
" ",""))</f>
        <v>60</v>
      </c>
      <c r="N44" s="3">
        <f>VALUE(SUBSTITUTE(SUBSTITUTE(
  MID(Data1!M41, FIND("H", Data1!M41)+1, FIND("L", Data1!M41)-FIND("H", Data1!M41)-1),
"Ø","0"),
" ",""))</f>
        <v>48</v>
      </c>
      <c r="O44" s="3">
        <f>VALUE(SUBSTITUTE(SUBSTITUTE(
  MID(Data1!N41, FIND("H", Data1!N41)+1, FIND("L", Data1!N41)-FIND("H", Data1!N41)-1),
"Ø","0"),
" ",""))</f>
        <v>37</v>
      </c>
    </row>
    <row r="45" spans="2:15">
      <c r="B45" s="9" t="str">
        <v>Sacramento</v>
      </c>
      <c r="C45" s="3"/>
      <c r="D45" s="3">
        <f>VALUE(SUBSTITUTE(SUBSTITUTE(
  MID(Data1!C42, FIND("H", Data1!C42)+1, FIND("L", Data1!C42)-FIND("H", Data1!C42)-1),
"Ø","0"),
" ",""))</f>
        <v>54</v>
      </c>
      <c r="E45" s="3">
        <f>VALUE(SUBSTITUTE(SUBSTITUTE(
  MID(Data1!D42, FIND("H", Data1!D42)+1, FIND("L", Data1!D42)-FIND("H", Data1!D42)-1),
"Ø","0"),
" ",""))</f>
        <v>60</v>
      </c>
      <c r="F45" s="3">
        <f>VALUE(SUBSTITUTE(SUBSTITUTE(
  MID(Data1!E42, FIND("H", Data1!E42)+1, FIND("L", Data1!E42)-FIND("H", Data1!E42)-1),
"Ø","0"),
" ",""))</f>
        <v>65</v>
      </c>
      <c r="G45" s="3">
        <f>VALUE(SUBSTITUTE(SUBSTITUTE(
  MID(Data1!F42, FIND("H", Data1!F42)+1, FIND("L", Data1!F42)-FIND("H", Data1!F42)-1),
"Ø","0"),
" ",""))</f>
        <v>71</v>
      </c>
      <c r="H45" s="3">
        <f>VALUE(SUBSTITUTE(SUBSTITUTE(
  MID(Data1!G42, FIND("H", Data1!G42)+1, FIND("L", Data1!G42)-FIND("H", Data1!G42)-1),
"Ø","0"),
" ",""))</f>
        <v>80</v>
      </c>
      <c r="I45" s="3">
        <f>VALUE(SUBSTITUTE(SUBSTITUTE(
  MID(Data1!H42, FIND("H", Data1!H42)+1, FIND("L", Data1!H42)-FIND("H", Data1!H42)-1),
"Ø","0"),
" ",""))</f>
        <v>87</v>
      </c>
      <c r="J45" s="3">
        <f>VALUE(SUBSTITUTE(SUBSTITUTE(
  MID(Data1!I42, FIND("H", Data1!I42)+1, FIND("L", Data1!I42)-FIND("H", Data1!I42)-1),
"Ø","0"),
" ",""))</f>
        <v>92</v>
      </c>
      <c r="K45" s="3">
        <f>VALUE(SUBSTITUTE(SUBSTITUTE(
  MID(Data1!J42, FIND("H", Data1!J42)+1, FIND("L", Data1!J42)-FIND("H", Data1!J42)-1),
"Ø","0"),
" ",""))</f>
        <v>91</v>
      </c>
      <c r="L45" s="3">
        <f>VALUE(SUBSTITUTE(SUBSTITUTE(
  MID(Data1!K42, FIND("H", Data1!K42)+1, FIND("L", Data1!K42)-FIND("H", Data1!K42)-1),
"Ø","0"),
" ",""))</f>
        <v>87</v>
      </c>
      <c r="M45" s="3">
        <f>VALUE(SUBSTITUTE(SUBSTITUTE(
  MID(Data1!L42, FIND("H", Data1!L42)+1, FIND("L", Data1!L42)-FIND("H", Data1!L42)-1),
"Ø","0"),
" ",""))</f>
        <v>78</v>
      </c>
      <c r="N45" s="3">
        <f>VALUE(SUBSTITUTE(SUBSTITUTE(
  MID(Data1!M42, FIND("H", Data1!M42)+1, FIND("L", Data1!M42)-FIND("H", Data1!M42)-1),
"Ø","0"),
" ",""))</f>
        <v>64</v>
      </c>
      <c r="O45" s="3">
        <f>VALUE(SUBSTITUTE(SUBSTITUTE(
  MID(Data1!N42, FIND("H", Data1!N42)+1, FIND("L", Data1!N42)-FIND("H", Data1!N42)-1),
"Ø","0"),
" ",""))</f>
        <v>54</v>
      </c>
    </row>
    <row r="46" spans="2:15">
      <c r="B46" s="9" t="str">
        <v>Salt Lake City</v>
      </c>
      <c r="C46" s="3"/>
      <c r="D46" s="3">
        <f>VALUE(SUBSTITUTE(SUBSTITUTE(
  MID(Data1!C43, FIND("H", Data1!C43)+1, FIND("L", Data1!C43)-FIND("H", Data1!C43)-1),
"Ø","0"),
" ",""))</f>
        <v>37</v>
      </c>
      <c r="E46" s="3">
        <f>VALUE(SUBSTITUTE(SUBSTITUTE(
  MID(Data1!D43, FIND("H", Data1!D43)+1, FIND("L", Data1!D43)-FIND("H", Data1!D43)-1),
"Ø","0"),
" ",""))</f>
        <v>43</v>
      </c>
      <c r="F46" s="3">
        <f>VALUE(SUBSTITUTE(SUBSTITUTE(
  MID(Data1!E43, FIND("H", Data1!E43)+1, FIND("L", Data1!E43)-FIND("H", Data1!E43)-1),
"Ø","0"),
" ",""))</f>
        <v>54</v>
      </c>
      <c r="G46" s="3">
        <f>VALUE(SUBSTITUTE(SUBSTITUTE(
  MID(Data1!F43, FIND("H", Data1!F43)+1, FIND("L", Data1!F43)-FIND("H", Data1!F43)-1),
"Ø","0"),
" ",""))</f>
        <v>62</v>
      </c>
      <c r="H46" s="3">
        <f>VALUE(SUBSTITUTE(SUBSTITUTE(
  MID(Data1!G43, FIND("H", Data1!G43)+1, FIND("L", Data1!G43)-FIND("H", Data1!G43)-1),
"Ø","0"),
" ",""))</f>
        <v>72</v>
      </c>
      <c r="I46" s="3">
        <f>VALUE(SUBSTITUTE(SUBSTITUTE(
  MID(Data1!H43, FIND("H", Data1!H43)+1, FIND("L", Data1!H43)-FIND("H", Data1!H43)-1),
"Ø","0"),
" ",""))</f>
        <v>83</v>
      </c>
      <c r="J46" s="3">
        <f>VALUE(SUBSTITUTE(SUBSTITUTE(
  MID(Data1!I43, FIND("H", Data1!I43)+1, FIND("L", Data1!I43)-FIND("H", Data1!I43)-1),
"Ø","0"),
" ",""))</f>
        <v>93</v>
      </c>
      <c r="K46" s="3">
        <f>VALUE(SUBSTITUTE(SUBSTITUTE(
  MID(Data1!J43, FIND("H", Data1!J43)+1, FIND("L", Data1!J43)-FIND("H", Data1!J43)-1),
"Ø","0"),
" ",""))</f>
        <v>91</v>
      </c>
      <c r="L46" s="3">
        <f>VALUE(SUBSTITUTE(SUBSTITUTE(
  MID(Data1!K43, FIND("H", Data1!K43)+1, FIND("L", Data1!K43)-FIND("H", Data1!K43)-1),
"Ø","0"),
" ",""))</f>
        <v>79</v>
      </c>
      <c r="M46" s="3">
        <f>VALUE(SUBSTITUTE(SUBSTITUTE(
  MID(Data1!L43, FIND("H", Data1!L43)+1, FIND("L", Data1!L43)-FIND("H", Data1!L43)-1),
"Ø","0"),
" ",""))</f>
        <v>65</v>
      </c>
      <c r="N46" s="3">
        <f>VALUE(SUBSTITUTE(SUBSTITUTE(
  MID(Data1!M43, FIND("H", Data1!M43)+1, FIND("L", Data1!M43)-FIND("H", Data1!M43)-1),
"Ø","0"),
" ",""))</f>
        <v>49</v>
      </c>
      <c r="O46" s="3">
        <f>VALUE(SUBSTITUTE(SUBSTITUTE(
  MID(Data1!N43, FIND("H", Data1!N43)+1, FIND("L", Data1!N43)-FIND("H", Data1!N43)-1),
"Ø","0"),
" ",""))</f>
        <v>38</v>
      </c>
    </row>
    <row r="47" spans="2:15">
      <c r="B47" s="9" t="str">
        <v>San Antonio</v>
      </c>
      <c r="C47" s="3"/>
      <c r="D47" s="3">
        <f>VALUE(SUBSTITUTE(SUBSTITUTE(
  MID(Data1!C44, FIND("H", Data1!C44)+1, FIND("L", Data1!C44)-FIND("H", Data1!C44)-1),
"Ø","0"),
" ",""))</f>
        <v>63</v>
      </c>
      <c r="E47" s="3">
        <f>VALUE(SUBSTITUTE(SUBSTITUTE(
  MID(Data1!D44, FIND("H", Data1!D44)+1, FIND("L", Data1!D44)-FIND("H", Data1!D44)-1),
"Ø","0"),
" ",""))</f>
        <v>67</v>
      </c>
      <c r="F47" s="3">
        <f>VALUE(SUBSTITUTE(SUBSTITUTE(
  MID(Data1!E44, FIND("H", Data1!E44)+1, FIND("L", Data1!E44)-FIND("H", Data1!E44)-1),
"Ø","0"),
" ",""))</f>
        <v>74</v>
      </c>
      <c r="G47" s="3">
        <f>VALUE(SUBSTITUTE(SUBSTITUTE(
  MID(Data1!F44, FIND("H", Data1!F44)+1, FIND("L", Data1!F44)-FIND("H", Data1!F44)-1),
"Ø","0"),
" ",""))</f>
        <v>81</v>
      </c>
      <c r="H47" s="3">
        <f>VALUE(SUBSTITUTE(SUBSTITUTE(
  MID(Data1!G44, FIND("H", Data1!G44)+1, FIND("L", Data1!G44)-FIND("H", Data1!G44)-1),
"Ø","0"),
" ",""))</f>
        <v>87</v>
      </c>
      <c r="I47" s="3">
        <f>VALUE(SUBSTITUTE(SUBSTITUTE(
  MID(Data1!H44, FIND("H", Data1!H44)+1, FIND("L", Data1!H44)-FIND("H", Data1!H44)-1),
"Ø","0"),
" ",""))</f>
        <v>92</v>
      </c>
      <c r="J47" s="3">
        <f>VALUE(SUBSTITUTE(SUBSTITUTE(
  MID(Data1!I44, FIND("H", Data1!I44)+1, FIND("L", Data1!I44)-FIND("H", Data1!I44)-1),
"Ø","0"),
" ",""))</f>
        <v>95</v>
      </c>
      <c r="K47" s="3">
        <f>VALUE(SUBSTITUTE(SUBSTITUTE(
  MID(Data1!J44, FIND("H", Data1!J44)+1, FIND("L", Data1!J44)-FIND("H", Data1!J44)-1),
"Ø","0"),
" ",""))</f>
        <v>96</v>
      </c>
      <c r="L47" s="3">
        <f>VALUE(SUBSTITUTE(SUBSTITUTE(
  MID(Data1!K44, FIND("H", Data1!K44)+1, FIND("L", Data1!K44)-FIND("H", Data1!K44)-1),
"Ø","0"),
" ",""))</f>
        <v>90</v>
      </c>
      <c r="M47" s="3">
        <f>VALUE(SUBSTITUTE(SUBSTITUTE(
  MID(Data1!L44, FIND("H", Data1!L44)+1, FIND("L", Data1!L44)-FIND("H", Data1!L44)-1),
"Ø","0"),
" ",""))</f>
        <v>82</v>
      </c>
      <c r="N47" s="3">
        <f>VALUE(SUBSTITUTE(SUBSTITUTE(
  MID(Data1!M44, FIND("H", Data1!M44)+1, FIND("L", Data1!M44)-FIND("H", Data1!M44)-1),
"Ø","0"),
" ",""))</f>
        <v>72</v>
      </c>
      <c r="O47" s="3">
        <f>VALUE(SUBSTITUTE(SUBSTITUTE(
  MID(Data1!N44, FIND("H", Data1!N44)+1, FIND("L", Data1!N44)-FIND("H", Data1!N44)-1),
"Ø","0"),
" ",""))</f>
        <v>64</v>
      </c>
    </row>
    <row r="48" spans="2:15">
      <c r="B48" s="9" t="str">
        <v>San Diego</v>
      </c>
      <c r="C48" s="3"/>
      <c r="D48" s="3">
        <f>VALUE(SUBSTITUTE(SUBSTITUTE(
  MID(Data1!C45, FIND("H", Data1!C45)+1, FIND("L", Data1!C45)-FIND("H", Data1!C45)-1),
"Ø","0"),
" ",""))</f>
        <v>65</v>
      </c>
      <c r="E48" s="3">
        <f>VALUE(SUBSTITUTE(SUBSTITUTE(
  MID(Data1!D45, FIND("H", Data1!D45)+1, FIND("L", Data1!D45)-FIND("H", Data1!D45)-1),
"Ø","0"),
" ",""))</f>
        <v>65</v>
      </c>
      <c r="F48" s="3">
        <f>VALUE(SUBSTITUTE(SUBSTITUTE(
  MID(Data1!E45, FIND("H", Data1!E45)+1, FIND("L", Data1!E45)-FIND("H", Data1!E45)-1),
"Ø","0"),
" ",""))</f>
        <v>66</v>
      </c>
      <c r="G48" s="3">
        <f>VALUE(SUBSTITUTE(SUBSTITUTE(
  MID(Data1!F45, FIND("H", Data1!F45)+1, FIND("L", Data1!F45)-FIND("H", Data1!F45)-1),
"Ø","0"),
" ",""))</f>
        <v>68</v>
      </c>
      <c r="H48" s="3">
        <f>VALUE(SUBSTITUTE(SUBSTITUTE(
  MID(Data1!G45, FIND("H", Data1!G45)+1, FIND("L", Data1!G45)-FIND("H", Data1!G45)-1),
"Ø","0"),
" ",""))</f>
        <v>69</v>
      </c>
      <c r="I48" s="3">
        <f>VALUE(SUBSTITUTE(SUBSTITUTE(
  MID(Data1!H45, FIND("H", Data1!H45)+1, FIND("L", Data1!H45)-FIND("H", Data1!H45)-1),
"Ø","0"),
" ",""))</f>
        <v>71</v>
      </c>
      <c r="J48" s="3">
        <f>VALUE(SUBSTITUTE(SUBSTITUTE(
  MID(Data1!I45, FIND("H", Data1!I45)+1, FIND("L", Data1!I45)-FIND("H", Data1!I45)-1),
"Ø","0"),
" ",""))</f>
        <v>75</v>
      </c>
      <c r="K48" s="3">
        <f>VALUE(SUBSTITUTE(SUBSTITUTE(
  MID(Data1!J45, FIND("H", Data1!J45)+1, FIND("L", Data1!J45)-FIND("H", Data1!J45)-1),
"Ø","0"),
" ",""))</f>
        <v>76</v>
      </c>
      <c r="L48" s="3">
        <f>VALUE(SUBSTITUTE(SUBSTITUTE(
  MID(Data1!K45, FIND("H", Data1!K45)+1, FIND("L", Data1!K45)-FIND("H", Data1!K45)-1),
"Ø","0"),
" ",""))</f>
        <v>76</v>
      </c>
      <c r="M48" s="3">
        <f>VALUE(SUBSTITUTE(SUBSTITUTE(
  MID(Data1!L45, FIND("H", Data1!L45)+1, FIND("L", Data1!L45)-FIND("H", Data1!L45)-1),
"Ø","0"),
" ",""))</f>
        <v>73</v>
      </c>
      <c r="N48" s="3">
        <f>VALUE(SUBSTITUTE(SUBSTITUTE(
  MID(Data1!M45, FIND("H", Data1!M45)+1, FIND("L", Data1!M45)-FIND("H", Data1!M45)-1),
"Ø","0"),
" ",""))</f>
        <v>69</v>
      </c>
      <c r="O48" s="3">
        <f>VALUE(SUBSTITUTE(SUBSTITUTE(
  MID(Data1!N45, FIND("H", Data1!N45)+1, FIND("L", Data1!N45)-FIND("H", Data1!N45)-1),
"Ø","0"),
" ",""))</f>
        <v>65</v>
      </c>
    </row>
    <row r="49" spans="2:15">
      <c r="B49" s="9" t="str">
        <v>San Francisco</v>
      </c>
      <c r="C49" s="3"/>
      <c r="D49" s="3">
        <f>VALUE(SUBSTITUTE(SUBSTITUTE(
  MID(Data1!C46, FIND("H", Data1!C46)+1, FIND("L", Data1!C46)-FIND("H", Data1!C46)-1),
"Ø","0"),
" ",""))</f>
        <v>57</v>
      </c>
      <c r="E49" s="3">
        <f>VALUE(SUBSTITUTE(SUBSTITUTE(
  MID(Data1!D46, FIND("H", Data1!D46)+1, FIND("L", Data1!D46)-FIND("H", Data1!D46)-1),
"Ø","0"),
" ",""))</f>
        <v>60</v>
      </c>
      <c r="F49" s="3">
        <f>VALUE(SUBSTITUTE(SUBSTITUTE(
  MID(Data1!E46, FIND("H", Data1!E46)+1, FIND("L", Data1!E46)-FIND("H", Data1!E46)-1),
"Ø","0"),
" ",""))</f>
        <v>62</v>
      </c>
      <c r="G49" s="3">
        <f>VALUE(SUBSTITUTE(SUBSTITUTE(
  MID(Data1!F46, FIND("H", Data1!F46)+1, FIND("L", Data1!F46)-FIND("H", Data1!F46)-1),
"Ø","0"),
" ",""))</f>
        <v>63</v>
      </c>
      <c r="H49" s="3">
        <f>VALUE(SUBSTITUTE(SUBSTITUTE(
  MID(Data1!G46, FIND("H", Data1!G46)+1, FIND("L", Data1!G46)-FIND("H", Data1!G46)-1),
"Ø","0"),
" ",""))</f>
        <v>64</v>
      </c>
      <c r="I49" s="3">
        <f>VALUE(SUBSTITUTE(SUBSTITUTE(
  MID(Data1!H46, FIND("H", Data1!H46)+1, FIND("L", Data1!H46)-FIND("H", Data1!H46)-1),
"Ø","0"),
" ",""))</f>
        <v>66</v>
      </c>
      <c r="J49" s="3">
        <f>VALUE(SUBSTITUTE(SUBSTITUTE(
  MID(Data1!I46, FIND("H", Data1!I46)+1, FIND("L", Data1!I46)-FIND("H", Data1!I46)-1),
"Ø","0"),
" ",""))</f>
        <v>67</v>
      </c>
      <c r="K49" s="3">
        <f>VALUE(SUBSTITUTE(SUBSTITUTE(
  MID(Data1!J46, FIND("H", Data1!J46)+1, FIND("L", Data1!J46)-FIND("H", Data1!J46)-1),
"Ø","0"),
" ",""))</f>
        <v>68</v>
      </c>
      <c r="L49" s="3">
        <f>VALUE(SUBSTITUTE(SUBSTITUTE(
  MID(Data1!K46, FIND("H", Data1!K46)+1, FIND("L", Data1!K46)-FIND("H", Data1!K46)-1),
"Ø","0"),
" ",""))</f>
        <v>70</v>
      </c>
      <c r="M49" s="3">
        <f>VALUE(SUBSTITUTE(SUBSTITUTE(
  MID(Data1!L46, FIND("H", Data1!L46)+1, FIND("L", Data1!L46)-FIND("H", Data1!L46)-1),
"Ø","0"),
" ",""))</f>
        <v>69</v>
      </c>
      <c r="N49" s="3">
        <f>VALUE(SUBSTITUTE(SUBSTITUTE(
  MID(Data1!M46, FIND("H", Data1!M46)+1, FIND("L", Data1!M46)-FIND("H", Data1!M46)-1),
"Ø","0"),
" ",""))</f>
        <v>63</v>
      </c>
      <c r="O49" s="3">
        <f>VALUE(SUBSTITUTE(SUBSTITUTE(
  MID(Data1!N46, FIND("H", Data1!N46)+1, FIND("L", Data1!N46)-FIND("H", Data1!N46)-1),
"Ø","0"),
" ",""))</f>
        <v>57</v>
      </c>
    </row>
    <row r="50" spans="2:15">
      <c r="B50" s="9" t="str">
        <v>San Jose</v>
      </c>
      <c r="C50" s="3"/>
      <c r="D50" s="3">
        <f>VALUE(SUBSTITUTE(SUBSTITUTE(
  MID(Data1!C47, FIND("H", Data1!C47)+1, FIND("L", Data1!C47)-FIND("H", Data1!C47)-1),
"Ø","0"),
" ",""))</f>
        <v>58</v>
      </c>
      <c r="E50" s="3">
        <f>VALUE(SUBSTITUTE(SUBSTITUTE(
  MID(Data1!D47, FIND("H", Data1!D47)+1, FIND("L", Data1!D47)-FIND("H", Data1!D47)-1),
"Ø","0"),
" ",""))</f>
        <v>62</v>
      </c>
      <c r="F50" s="3">
        <f>VALUE(SUBSTITUTE(SUBSTITUTE(
  MID(Data1!E47, FIND("H", Data1!E47)+1, FIND("L", Data1!E47)-FIND("H", Data1!E47)-1),
"Ø","0"),
" ",""))</f>
        <v>66</v>
      </c>
      <c r="G50" s="3">
        <f>VALUE(SUBSTITUTE(SUBSTITUTE(
  MID(Data1!F47, FIND("H", Data1!F47)+1, FIND("L", Data1!F47)-FIND("H", Data1!F47)-1),
"Ø","0"),
" ",""))</f>
        <v>69</v>
      </c>
      <c r="H50" s="3">
        <f>VALUE(SUBSTITUTE(SUBSTITUTE(
  MID(Data1!G47, FIND("H", Data1!G47)+1, FIND("L", Data1!G47)-FIND("H", Data1!G47)-1),
"Ø","0"),
" ",""))</f>
        <v>74</v>
      </c>
      <c r="I50" s="3">
        <f>VALUE(SUBSTITUTE(SUBSTITUTE(
  MID(Data1!H47, FIND("H", Data1!H47)+1, FIND("L", Data1!H47)-FIND("H", Data1!H47)-1),
"Ø","0"),
" ",""))</f>
        <v>79</v>
      </c>
      <c r="J50" s="3">
        <f>VALUE(SUBSTITUTE(SUBSTITUTE(
  MID(Data1!I47, FIND("H", Data1!I47)+1, FIND("L", Data1!I47)-FIND("H", Data1!I47)-1),
"Ø","0"),
" ",""))</f>
        <v>82</v>
      </c>
      <c r="K50" s="3">
        <f>VALUE(SUBSTITUTE(SUBSTITUTE(
  MID(Data1!J47, FIND("H", Data1!J47)+1, FIND("L", Data1!J47)-FIND("H", Data1!J47)-1),
"Ø","0"),
" ",""))</f>
        <v>82</v>
      </c>
      <c r="L50" s="3">
        <f>VALUE(SUBSTITUTE(SUBSTITUTE(
  MID(Data1!K47, FIND("H", Data1!K47)+1, FIND("L", Data1!K47)-FIND("H", Data1!K47)-1),
"Ø","0"),
" ",""))</f>
        <v>80</v>
      </c>
      <c r="M50" s="3">
        <f>VALUE(SUBSTITUTE(SUBSTITUTE(
  MID(Data1!L47, FIND("H", Data1!L47)+1, FIND("L", Data1!L47)-FIND("H", Data1!L47)-1),
"Ø","0"),
" ",""))</f>
        <v>74</v>
      </c>
      <c r="N50" s="3">
        <f>VALUE(SUBSTITUTE(SUBSTITUTE(
  MID(Data1!M47, FIND("H", Data1!M47)+1, FIND("L", Data1!M47)-FIND("H", Data1!M47)-1),
"Ø","0"),
" ",""))</f>
        <v>64</v>
      </c>
      <c r="O50" s="3">
        <f>VALUE(SUBSTITUTE(SUBSTITUTE(
  MID(Data1!N47, FIND("H", Data1!N47)+1, FIND("L", Data1!N47)-FIND("H", Data1!N47)-1),
"Ø","0"),
" ",""))</f>
        <v>58</v>
      </c>
    </row>
    <row r="51" spans="2:15">
      <c r="B51" s="9" t="str">
        <v>Seattle</v>
      </c>
      <c r="C51" s="3"/>
      <c r="D51" s="3">
        <f>VALUE(SUBSTITUTE(SUBSTITUTE(
  MID(Data1!C48, FIND("H", Data1!C48)+1, FIND("L", Data1!C48)-FIND("H", Data1!C48)-1),
"Ø","0"),
" ",""))</f>
        <v>49</v>
      </c>
      <c r="E51" s="3">
        <f>VALUE(SUBSTITUTE(SUBSTITUTE(
  MID(Data1!D48, FIND("H", Data1!D48)+1, FIND("L", Data1!D48)-FIND("H", Data1!D48)-1),
"Ø","0"),
" ",""))</f>
        <v>51</v>
      </c>
      <c r="F51" s="3">
        <f>VALUE(SUBSTITUTE(SUBSTITUTE(
  MID(Data1!E48, FIND("H", Data1!E48)+1, FIND("L", Data1!E48)-FIND("H", Data1!E48)-1),
"Ø","0"),
" ",""))</f>
        <v>55</v>
      </c>
      <c r="G51" s="3">
        <f>VALUE(SUBSTITUTE(SUBSTITUTE(
  MID(Data1!F48, FIND("H", Data1!F48)+1, FIND("L", Data1!F48)-FIND("H", Data1!F48)-1),
"Ø","0"),
" ",""))</f>
        <v>60</v>
      </c>
      <c r="H51" s="3">
        <f>VALUE(SUBSTITUTE(SUBSTITUTE(
  MID(Data1!G48, FIND("H", Data1!G48)+1, FIND("L", Data1!G48)-FIND("H", Data1!G48)-1),
"Ø","0"),
" ",""))</f>
        <v>66</v>
      </c>
      <c r="I51" s="3">
        <f>VALUE(SUBSTITUTE(SUBSTITUTE(
  MID(Data1!H48, FIND("H", Data1!H48)+1, FIND("L", Data1!H48)-FIND("H", Data1!H48)-1),
"Ø","0"),
" ",""))</f>
        <v>71</v>
      </c>
      <c r="J51" s="3">
        <f>VALUE(SUBSTITUTE(SUBSTITUTE(
  MID(Data1!I48, FIND("H", Data1!I48)+1, FIND("L", Data1!I48)-FIND("H", Data1!I48)-1),
"Ø","0"),
" ",""))</f>
        <v>76</v>
      </c>
      <c r="K51" s="3">
        <f>VALUE(SUBSTITUTE(SUBSTITUTE(
  MID(Data1!J48, FIND("H", Data1!J48)+1, FIND("L", Data1!J48)-FIND("H", Data1!J48)-1),
"Ø","0"),
" ",""))</f>
        <v>76</v>
      </c>
      <c r="L51" s="3">
        <f>VALUE(SUBSTITUTE(SUBSTITUTE(
  MID(Data1!K48, FIND("H", Data1!K48)+1, FIND("L", Data1!K48)-FIND("H", Data1!K48)-1),
"Ø","0"),
" ",""))</f>
        <v>71</v>
      </c>
      <c r="M51" s="3">
        <f>VALUE(SUBSTITUTE(SUBSTITUTE(
  MID(Data1!L48, FIND("H", Data1!L48)+1, FIND("L", Data1!L48)-FIND("H", Data1!L48)-1),
"Ø","0"),
" ",""))</f>
        <v>61</v>
      </c>
      <c r="N51" s="3">
        <f>VALUE(SUBSTITUTE(SUBSTITUTE(
  MID(Data1!M48, FIND("H", Data1!M48)+1, FIND("L", Data1!M48)-FIND("H", Data1!M48)-1),
"Ø","0"),
" ",""))</f>
        <v>52</v>
      </c>
      <c r="O51" s="3">
        <f>VALUE(SUBSTITUTE(SUBSTITUTE(
  MID(Data1!N48, FIND("H", Data1!N48)+1, FIND("L", Data1!N48)-FIND("H", Data1!N48)-1),
"Ø","0"),
" ",""))</f>
        <v>47</v>
      </c>
    </row>
    <row r="52" spans="2:15">
      <c r="B52" s="9" t="str">
        <v>St. Louis</v>
      </c>
      <c r="C52" s="3"/>
      <c r="D52" s="3">
        <f>VALUE(SUBSTITUTE(SUBSTITUTE(
  MID(Data1!C49, FIND("H", Data1!C49)+1, FIND("L", Data1!C49)-FIND("H", Data1!C49)-1),
"Ø","0"),
" ",""))</f>
        <v>40</v>
      </c>
      <c r="E52" s="3">
        <f>VALUE(SUBSTITUTE(SUBSTITUTE(
  MID(Data1!D49, FIND("H", Data1!D49)+1, FIND("L", Data1!D49)-FIND("H", Data1!D49)-1),
"Ø","0"),
" ",""))</f>
        <v>45</v>
      </c>
      <c r="F52" s="3">
        <f>VALUE(SUBSTITUTE(SUBSTITUTE(
  MID(Data1!E49, FIND("H", Data1!E49)+1, FIND("L", Data1!E49)-FIND("H", Data1!E49)-1),
"Ø","0"),
" ",""))</f>
        <v>56</v>
      </c>
      <c r="G52" s="3">
        <f>VALUE(SUBSTITUTE(SUBSTITUTE(
  MID(Data1!F49, FIND("H", Data1!F49)+1, FIND("L", Data1!F49)-FIND("H", Data1!F49)-1),
"Ø","0"),
" ",""))</f>
        <v>67</v>
      </c>
      <c r="H52" s="3">
        <f>VALUE(SUBSTITUTE(SUBSTITUTE(
  MID(Data1!G49, FIND("H", Data1!G49)+1, FIND("L", Data1!G49)-FIND("H", Data1!G49)-1),
"Ø","0"),
" ",""))</f>
        <v>76</v>
      </c>
      <c r="I52" s="3">
        <f>VALUE(SUBSTITUTE(SUBSTITUTE(
  MID(Data1!H49, FIND("H", Data1!H49)+1, FIND("L", Data1!H49)-FIND("H", Data1!H49)-1),
"Ø","0"),
" ",""))</f>
        <v>85</v>
      </c>
      <c r="J52" s="3">
        <f>VALUE(SUBSTITUTE(SUBSTITUTE(
  MID(Data1!I49, FIND("H", Data1!I49)+1, FIND("L", Data1!I49)-FIND("H", Data1!I49)-1),
"Ø","0"),
" ",""))</f>
        <v>89</v>
      </c>
      <c r="K52" s="3">
        <f>VALUE(SUBSTITUTE(SUBSTITUTE(
  MID(Data1!J49, FIND("H", Data1!J49)+1, FIND("L", Data1!J49)-FIND("H", Data1!J49)-1),
"Ø","0"),
" ",""))</f>
        <v>88</v>
      </c>
      <c r="L52" s="3">
        <f>VALUE(SUBSTITUTE(SUBSTITUTE(
  MID(Data1!K49, FIND("H", Data1!K49)+1, FIND("L", Data1!K49)-FIND("H", Data1!K49)-1),
"Ø","0"),
" ",""))</f>
        <v>80</v>
      </c>
      <c r="M52" s="3">
        <f>VALUE(SUBSTITUTE(SUBSTITUTE(
  MID(Data1!L49, FIND("H", Data1!L49)+1, FIND("L", Data1!L49)-FIND("H", Data1!L49)-1),
"Ø","0"),
" ",""))</f>
        <v>69</v>
      </c>
      <c r="N52" s="3">
        <f>VALUE(SUBSTITUTE(SUBSTITUTE(
  MID(Data1!M49, FIND("H", Data1!M49)+1, FIND("L", Data1!M49)-FIND("H", Data1!M49)-1),
"Ø","0"),
" ",""))</f>
        <v>56</v>
      </c>
      <c r="O52" s="3">
        <f>VALUE(SUBSTITUTE(SUBSTITUTE(
  MID(Data1!N49, FIND("H", Data1!N49)+1, FIND("L", Data1!N49)-FIND("H", Data1!N49)-1),
"Ø","0"),
" ",""))</f>
        <v>43</v>
      </c>
    </row>
    <row r="53" spans="2:15">
      <c r="B53" s="9" t="str">
        <v>Tampa</v>
      </c>
      <c r="C53" s="3"/>
      <c r="D53" s="3">
        <f>VALUE(SUBSTITUTE(SUBSTITUTE(
  MID(Data1!C50, FIND("H", Data1!C50)+1, FIND("L", Data1!C50)-FIND("H", Data1!C50)-1),
"Ø","0"),
" ",""))</f>
        <v>70</v>
      </c>
      <c r="E53" s="3">
        <f>VALUE(SUBSTITUTE(SUBSTITUTE(
  MID(Data1!D50, FIND("H", Data1!D50)+1, FIND("L", Data1!D50)-FIND("H", Data1!D50)-1),
"Ø","0"),
" ",""))</f>
        <v>73</v>
      </c>
      <c r="F53" s="3">
        <f>VALUE(SUBSTITUTE(SUBSTITUTE(
  MID(Data1!E50, FIND("H", Data1!E50)+1, FIND("L", Data1!E50)-FIND("H", Data1!E50)-1),
"Ø","0"),
" ",""))</f>
        <v>76</v>
      </c>
      <c r="G53" s="3">
        <f>VALUE(SUBSTITUTE(SUBSTITUTE(
  MID(Data1!F50, FIND("H", Data1!F50)+1, FIND("L", Data1!F50)-FIND("H", Data1!F50)-1),
"Ø","0"),
" ",""))</f>
        <v>81</v>
      </c>
      <c r="H53" s="3">
        <f>VALUE(SUBSTITUTE(SUBSTITUTE(
  MID(Data1!G50, FIND("H", Data1!G50)+1, FIND("L", Data1!G50)-FIND("H", Data1!G50)-1),
"Ø","0"),
" ",""))</f>
        <v>87</v>
      </c>
      <c r="I53" s="3">
        <f>VALUE(SUBSTITUTE(SUBSTITUTE(
  MID(Data1!H50, FIND("H", Data1!H50)+1, FIND("L", Data1!H50)-FIND("H", Data1!H50)-1),
"Ø","0"),
" ",""))</f>
        <v>90</v>
      </c>
      <c r="J53" s="3">
        <f>VALUE(SUBSTITUTE(SUBSTITUTE(
  MID(Data1!I50, FIND("H", Data1!I50)+1, FIND("L", Data1!I50)-FIND("H", Data1!I50)-1),
"Ø","0"),
" ",""))</f>
        <v>90</v>
      </c>
      <c r="K53" s="3">
        <f>VALUE(SUBSTITUTE(SUBSTITUTE(
  MID(Data1!J50, FIND("H", Data1!J50)+1, FIND("L", Data1!J50)-FIND("H", Data1!J50)-1),
"Ø","0"),
" ",""))</f>
        <v>90</v>
      </c>
      <c r="L53" s="3">
        <f>VALUE(SUBSTITUTE(SUBSTITUTE(
  MID(Data1!K50, FIND("H", Data1!K50)+1, FIND("L", Data1!K50)-FIND("H", Data1!K50)-1),
"Ø","0"),
" ",""))</f>
        <v>89</v>
      </c>
      <c r="M53" s="3">
        <f>VALUE(SUBSTITUTE(SUBSTITUTE(
  MID(Data1!L50, FIND("H", Data1!L50)+1, FIND("L", Data1!L50)-FIND("H", Data1!L50)-1),
"Ø","0"),
" ",""))</f>
        <v>84</v>
      </c>
      <c r="N53" s="3">
        <f>VALUE(SUBSTITUTE(SUBSTITUTE(
  MID(Data1!M50, FIND("H", Data1!M50)+1, FIND("L", Data1!M50)-FIND("H", Data1!M50)-1),
"Ø","0"),
" ",""))</f>
        <v>78</v>
      </c>
      <c r="O53" s="3">
        <f>VALUE(SUBSTITUTE(SUBSTITUTE(
  MID(Data1!N50, FIND("H", Data1!N50)+1, FIND("L", Data1!N50)-FIND("H", Data1!N50)-1),
"Ø","0"),
" ",""))</f>
        <v>72</v>
      </c>
    </row>
    <row r="54" spans="2:15">
      <c r="B54" s="10" t="str">
        <v>Virginia Beach</v>
      </c>
      <c r="C54" s="3"/>
      <c r="D54" s="3">
        <f>VALUE(SUBSTITUTE(SUBSTITUTE(
  MID(Data1!C51, FIND("H", Data1!C51)+1, FIND("L", Data1!C51)-FIND("H", Data1!C51)-1),
"Ø","0"),
" ",""))</f>
        <v>48</v>
      </c>
      <c r="E54" s="3">
        <f>VALUE(SUBSTITUTE(SUBSTITUTE(
  MID(Data1!D51, FIND("H", Data1!D51)+1, FIND("L", Data1!D51)-FIND("H", Data1!D51)-1),
"Ø","0"),
" ",""))</f>
        <v>51</v>
      </c>
      <c r="F54" s="3">
        <f>VALUE(SUBSTITUTE(SUBSTITUTE(
  MID(Data1!E51, FIND("H", Data1!E51)+1, FIND("L", Data1!E51)-FIND("H", Data1!E51)-1),
"Ø","0"),
" ",""))</f>
        <v>58</v>
      </c>
      <c r="G54" s="3">
        <f>VALUE(SUBSTITUTE(SUBSTITUTE(
  MID(Data1!F51, FIND("H", Data1!F51)+1, FIND("L", Data1!F51)-FIND("H", Data1!F51)-1),
"Ø","0"),
" ",""))</f>
        <v>68</v>
      </c>
      <c r="H54" s="3">
        <f>VALUE(SUBSTITUTE(SUBSTITUTE(
  MID(Data1!G51, FIND("H", Data1!G51)+1, FIND("L", Data1!G51)-FIND("H", Data1!G51)-1),
"Ø","0"),
" ",""))</f>
        <v>75</v>
      </c>
      <c r="I54" s="3">
        <f>VALUE(SUBSTITUTE(SUBSTITUTE(
  MID(Data1!H51, FIND("H", Data1!H51)+1, FIND("L", Data1!H51)-FIND("H", Data1!H51)-1),
"Ø","0"),
" ",""))</f>
        <v>84</v>
      </c>
      <c r="J54" s="3">
        <f>VALUE(SUBSTITUTE(SUBSTITUTE(
  MID(Data1!I51, FIND("H", Data1!I51)+1, FIND("L", Data1!I51)-FIND("H", Data1!I51)-1),
"Ø","0"),
" ",""))</f>
        <v>87</v>
      </c>
      <c r="K54" s="3">
        <f>VALUE(SUBSTITUTE(SUBSTITUTE(
  MID(Data1!J51, FIND("H", Data1!J51)+1, FIND("L", Data1!J51)-FIND("H", Data1!J51)-1),
"Ø","0"),
" ",""))</f>
        <v>85</v>
      </c>
      <c r="L54" s="3">
        <f>VALUE(SUBSTITUTE(SUBSTITUTE(
  MID(Data1!K51, FIND("H", Data1!K51)+1, FIND("L", Data1!K51)-FIND("H", Data1!K51)-1),
"Ø","0"),
" ",""))</f>
        <v>79</v>
      </c>
      <c r="M54" s="3">
        <f>VALUE(SUBSTITUTE(SUBSTITUTE(
  MID(Data1!L51, FIND("H", Data1!L51)+1, FIND("L", Data1!L51)-FIND("H", Data1!L51)-1),
"Ø","0"),
" ",""))</f>
        <v>70</v>
      </c>
      <c r="N54" s="3">
        <f>VALUE(SUBSTITUTE(SUBSTITUTE(
  MID(Data1!M51, FIND("H", Data1!M51)+1, FIND("L", Data1!M51)-FIND("H", Data1!M51)-1),
"Ø","0"),
" ",""))</f>
        <v>61</v>
      </c>
      <c r="O54" s="3">
        <f>VALUE(SUBSTITUTE(SUBSTITUTE(
  MID(Data1!N51, FIND("H", Data1!N51)+1, FIND("L", Data1!N51)-FIND("H", Data1!N51)-1),
"Ø","0"),
" ",""))</f>
        <v>52</v>
      </c>
    </row>
    <row r="55" spans="2:15">
      <c r="B55" s="10" t="s">
        <v>639</v>
      </c>
      <c r="D55" s="3">
        <f>MAX(D5:D54)</f>
        <v>76</v>
      </c>
      <c r="E55" s="3">
        <f t="shared" ref="E55:O55" si="0">MAX(E5:E54)</f>
        <v>78</v>
      </c>
      <c r="F55" s="3">
        <f t="shared" si="0"/>
        <v>80</v>
      </c>
      <c r="G55" s="3">
        <f t="shared" si="0"/>
        <v>86</v>
      </c>
      <c r="H55" s="3">
        <f t="shared" si="0"/>
        <v>95</v>
      </c>
      <c r="I55" s="3">
        <f t="shared" si="0"/>
        <v>104</v>
      </c>
      <c r="J55" s="3">
        <f t="shared" si="0"/>
        <v>106</v>
      </c>
      <c r="K55" s="3">
        <f t="shared" si="0"/>
        <v>104</v>
      </c>
      <c r="L55" s="3">
        <f t="shared" si="0"/>
        <v>100</v>
      </c>
      <c r="M55" s="3">
        <f t="shared" si="0"/>
        <v>89</v>
      </c>
      <c r="N55" s="3">
        <f t="shared" si="0"/>
        <v>82</v>
      </c>
      <c r="O55" s="3">
        <f t="shared" si="0"/>
        <v>78</v>
      </c>
    </row>
    <row r="57" spans="2:15">
      <c r="B57" s="36" t="s">
        <v>640</v>
      </c>
      <c r="C57" s="33"/>
      <c r="D57" s="37">
        <f t="array" ref="D57:O57">CheckSumHigh</f>
        <v>259045</v>
      </c>
      <c r="E57" s="37">
        <v>277026</v>
      </c>
      <c r="F57" s="37">
        <v>312012</v>
      </c>
      <c r="G57" s="37">
        <v>352569</v>
      </c>
      <c r="H57" s="37">
        <v>390367</v>
      </c>
      <c r="I57" s="37">
        <v>425245</v>
      </c>
      <c r="J57" s="37">
        <v>445112</v>
      </c>
      <c r="K57" s="37">
        <v>441332</v>
      </c>
      <c r="L57" s="37">
        <v>413908</v>
      </c>
      <c r="M57" s="37">
        <v>366926</v>
      </c>
      <c r="N57" s="37">
        <v>314215</v>
      </c>
      <c r="O57" s="31">
        <v>268310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864A-C285-4F85-B5DA-8D10838A484E}">
  <sheetPr codeName="Sheet9">
    <tabColor rgb="FFCCFFCC"/>
  </sheetPr>
  <dimension ref="B3:O62"/>
  <sheetViews>
    <sheetView showGridLines="0" workbookViewId="0">
      <pane xSplit="3" ySplit="4" topLeftCell="D52" activePane="bottomRight" state="frozen"/>
      <selection pane="bottomRight" activeCell="D5" sqref="D5"/>
      <selection pane="bottomLeft" activeCell="A5" sqref="A5"/>
      <selection pane="topRight" activeCell="D1" sqref="D1"/>
    </sheetView>
  </sheetViews>
  <sheetFormatPr defaultRowHeight="14.65"/>
  <cols>
    <col min="2" max="3" width="20.7109375" customWidth="1"/>
  </cols>
  <sheetData>
    <row r="3" spans="2:15">
      <c r="B3" s="4" t="s">
        <v>641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2:15">
      <c r="B4" s="15" t="s">
        <v>637</v>
      </c>
      <c r="C4" s="11" t="s">
        <v>638</v>
      </c>
      <c r="D4" s="12" t="str">
        <f t="array" ref="D4:O4">ListsMonthShort</f>
        <v>Jan</v>
      </c>
      <c r="E4" s="13" t="str">
        <v>Feb</v>
      </c>
      <c r="F4" s="13" t="str">
        <v>Mar</v>
      </c>
      <c r="G4" s="13" t="str">
        <v>Apr</v>
      </c>
      <c r="H4" s="13" t="str">
        <v>May</v>
      </c>
      <c r="I4" s="13" t="str">
        <v>Jun</v>
      </c>
      <c r="J4" s="13" t="str">
        <v>Jul</v>
      </c>
      <c r="K4" s="13" t="str">
        <v>Aug</v>
      </c>
      <c r="L4" s="13" t="str">
        <v>Sep</v>
      </c>
      <c r="M4" s="13" t="str">
        <v>Oct</v>
      </c>
      <c r="N4" s="13" t="str">
        <v>Nov</v>
      </c>
      <c r="O4" s="14" t="str">
        <v>Dec</v>
      </c>
    </row>
    <row r="5" spans="2:15" ht="15">
      <c r="B5" s="8" t="str">
        <f t="array" ref="B5:B54">ListCity</f>
        <v>Atlanta</v>
      </c>
      <c r="C5" s="3"/>
      <c r="D5" s="7">
        <f>VALUE(SUBSTITUTE(SUBSTITUTE(RIGHT(Data1!C2,LEN(Data1!C2)-FIND("L",Data1!C2)),"Ø","0")," ",""))</f>
        <v>34</v>
      </c>
      <c r="E5" s="7">
        <f>VALUE(SUBSTITUTE(SUBSTITUTE(RIGHT(Data1!D2,LEN(Data1!D2)-FIND("L",Data1!D2)),"Ø","0")," ",""))</f>
        <v>38</v>
      </c>
      <c r="F5" s="7">
        <f>VALUE(SUBSTITUTE(SUBSTITUTE(RIGHT(Data1!E2,LEN(Data1!E2)-FIND("L",Data1!E2)),"Ø","0")," ",""))</f>
        <v>44</v>
      </c>
      <c r="G5" s="7">
        <f>VALUE(SUBSTITUTE(SUBSTITUTE(RIGHT(Data1!F2,LEN(Data1!F2)-FIND("L",Data1!F2)),"Ø","0")," ",""))</f>
        <v>52</v>
      </c>
      <c r="H5" s="7">
        <f>VALUE(SUBSTITUTE(SUBSTITUTE(RIGHT(Data1!G2,LEN(Data1!G2)-FIND("L",Data1!G2)),"Ø","0")," ",""))</f>
        <v>60</v>
      </c>
      <c r="I5" s="7">
        <f>VALUE(SUBSTITUTE(SUBSTITUTE(RIGHT(Data1!H2,LEN(Data1!H2)-FIND("L",Data1!H2)),"Ø","0")," ",""))</f>
        <v>68</v>
      </c>
      <c r="J5" s="7">
        <f>VALUE(SUBSTITUTE(SUBSTITUTE(RIGHT(Data1!I2,LEN(Data1!I2)-FIND("L",Data1!I2)),"Ø","0")," ",""))</f>
        <v>71</v>
      </c>
      <c r="K5" s="7">
        <f>VALUE(SUBSTITUTE(SUBSTITUTE(RIGHT(Data1!J2,LEN(Data1!J2)-FIND("L",Data1!J2)),"Ø","0")," ",""))</f>
        <v>71</v>
      </c>
      <c r="L5" s="7">
        <f>VALUE(SUBSTITUTE(SUBSTITUTE(RIGHT(Data1!K2,LEN(Data1!K2)-FIND("L",Data1!K2)),"Ø","0")," ",""))</f>
        <v>65</v>
      </c>
      <c r="M5" s="7">
        <f>VALUE(SUBSTITUTE(SUBSTITUTE(RIGHT(Data1!L2,LEN(Data1!L2)-FIND("L",Data1!L2)),"Ø","0")," ",""))</f>
        <v>54</v>
      </c>
      <c r="N5" s="7">
        <f>VALUE(SUBSTITUTE(SUBSTITUTE(RIGHT(Data1!M2,LEN(Data1!M2)-FIND("L",Data1!M2)),"Ø","0")," ",""))</f>
        <v>45</v>
      </c>
      <c r="O5" s="7">
        <f>VALUE(SUBSTITUTE(SUBSTITUTE(RIGHT(Data1!N2,LEN(Data1!N2)-FIND("L",Data1!N2)),"Ø","0")," ",""))</f>
        <v>37</v>
      </c>
    </row>
    <row r="6" spans="2:15" ht="15">
      <c r="B6" s="9" t="str">
        <v>Austin</v>
      </c>
      <c r="C6" s="3"/>
      <c r="D6" s="7">
        <f>VALUE(SUBSTITUTE(SUBSTITUTE(RIGHT(Data1!C3,LEN(Data1!C3)-FIND("L",Data1!C3)),"Ø","0")," ",""))</f>
        <v>42</v>
      </c>
      <c r="E6" s="7">
        <f>VALUE(SUBSTITUTE(SUBSTITUTE(RIGHT(Data1!D3,LEN(Data1!D3)-FIND("L",Data1!D3)),"Ø","0")," ",""))</f>
        <v>45</v>
      </c>
      <c r="F6" s="7">
        <f>VALUE(SUBSTITUTE(SUBSTITUTE(RIGHT(Data1!E3,LEN(Data1!E3)-FIND("L",Data1!E3)),"Ø","0")," ",""))</f>
        <v>51</v>
      </c>
      <c r="G6" s="7">
        <f>VALUE(SUBSTITUTE(SUBSTITUTE(RIGHT(Data1!F3,LEN(Data1!F3)-FIND("L",Data1!F3)),"Ø","0")," ",""))</f>
        <v>59</v>
      </c>
      <c r="H6" s="7">
        <f>VALUE(SUBSTITUTE(SUBSTITUTE(RIGHT(Data1!G3,LEN(Data1!G3)-FIND("L",Data1!G3)),"Ø","0")," ",""))</f>
        <v>67</v>
      </c>
      <c r="I6" s="7">
        <f>VALUE(SUBSTITUTE(SUBSTITUTE(RIGHT(Data1!H3,LEN(Data1!H3)-FIND("L",Data1!H3)),"Ø","0")," ",""))</f>
        <v>72</v>
      </c>
      <c r="J6" s="7">
        <f>VALUE(SUBSTITUTE(SUBSTITUTE(RIGHT(Data1!I3,LEN(Data1!I3)-FIND("L",Data1!I3)),"Ø","0")," ",""))</f>
        <v>74</v>
      </c>
      <c r="K6" s="7">
        <f>VALUE(SUBSTITUTE(SUBSTITUTE(RIGHT(Data1!J3,LEN(Data1!J3)-FIND("L",Data1!J3)),"Ø","0")," ",""))</f>
        <v>75</v>
      </c>
      <c r="L6" s="7">
        <f>VALUE(SUBSTITUTE(SUBSTITUTE(RIGHT(Data1!K3,LEN(Data1!K3)-FIND("L",Data1!K3)),"Ø","0")," ",""))</f>
        <v>69</v>
      </c>
      <c r="M6" s="7">
        <f>VALUE(SUBSTITUTE(SUBSTITUTE(RIGHT(Data1!L3,LEN(Data1!L3)-FIND("L",Data1!L3)),"Ø","0")," ",""))</f>
        <v>61</v>
      </c>
      <c r="N6" s="7">
        <f>VALUE(SUBSTITUTE(SUBSTITUTE(RIGHT(Data1!M3,LEN(Data1!M3)-FIND("L",Data1!M3)),"Ø","0")," ",""))</f>
        <v>51</v>
      </c>
      <c r="O6" s="7">
        <f>VALUE(SUBSTITUTE(SUBSTITUTE(RIGHT(Data1!N3,LEN(Data1!N3)-FIND("L",Data1!N3)),"Ø","0")," ",""))</f>
        <v>42</v>
      </c>
    </row>
    <row r="7" spans="2:15" ht="15">
      <c r="B7" s="9" t="str">
        <v>Baltimore</v>
      </c>
      <c r="C7" s="3"/>
      <c r="D7" s="7">
        <f>VALUE(SUBSTITUTE(SUBSTITUTE(RIGHT(Data1!C4,LEN(Data1!C4)-FIND("L",Data1!C4)),"Ø","0")," ",""))</f>
        <v>24</v>
      </c>
      <c r="E7" s="7">
        <f>VALUE(SUBSTITUTE(SUBSTITUTE(RIGHT(Data1!D4,LEN(Data1!D4)-FIND("L",Data1!D4)),"Ø","0")," ",""))</f>
        <v>27</v>
      </c>
      <c r="F7" s="7">
        <f>VALUE(SUBSTITUTE(SUBSTITUTE(RIGHT(Data1!E4,LEN(Data1!E4)-FIND("L",Data1!E4)),"Ø","0")," ",""))</f>
        <v>34</v>
      </c>
      <c r="G7" s="7">
        <f>VALUE(SUBSTITUTE(SUBSTITUTE(RIGHT(Data1!F4,LEN(Data1!F4)-FIND("L",Data1!F4)),"Ø","0")," ",""))</f>
        <v>43</v>
      </c>
      <c r="H7" s="7">
        <f>VALUE(SUBSTITUTE(SUBSTITUTE(RIGHT(Data1!G4,LEN(Data1!G4)-FIND("L",Data1!G4)),"Ø","0")," ",""))</f>
        <v>52</v>
      </c>
      <c r="I7" s="7">
        <f>VALUE(SUBSTITUTE(SUBSTITUTE(RIGHT(Data1!H4,LEN(Data1!H4)-FIND("L",Data1!H4)),"Ø","0")," ",""))</f>
        <v>62</v>
      </c>
      <c r="J7" s="7">
        <f>VALUE(SUBSTITUTE(SUBSTITUTE(RIGHT(Data1!I4,LEN(Data1!I4)-FIND("L",Data1!I4)),"Ø","0")," ",""))</f>
        <v>67</v>
      </c>
      <c r="K7" s="7">
        <f>VALUE(SUBSTITUTE(SUBSTITUTE(RIGHT(Data1!J4,LEN(Data1!J4)-FIND("L",Data1!J4)),"Ø","0")," ",""))</f>
        <v>65</v>
      </c>
      <c r="L7" s="7">
        <f>VALUE(SUBSTITUTE(SUBSTITUTE(RIGHT(Data1!K4,LEN(Data1!K4)-FIND("L",Data1!K4)),"Ø","0")," ",""))</f>
        <v>58</v>
      </c>
      <c r="M7" s="7">
        <f>VALUE(SUBSTITUTE(SUBSTITUTE(RIGHT(Data1!L4,LEN(Data1!L4)-FIND("L",Data1!L4)),"Ø","0")," ",""))</f>
        <v>45</v>
      </c>
      <c r="N7" s="7">
        <f>VALUE(SUBSTITUTE(SUBSTITUTE(RIGHT(Data1!M4,LEN(Data1!M4)-FIND("L",Data1!M4)),"Ø","0")," ",""))</f>
        <v>37</v>
      </c>
      <c r="O7" s="7">
        <f>VALUE(SUBSTITUTE(SUBSTITUTE(RIGHT(Data1!N4,LEN(Data1!N4)-FIND("L",Data1!N4)),"Ø","0")," ",""))</f>
        <v>28</v>
      </c>
    </row>
    <row r="8" spans="2:15" ht="15">
      <c r="B8" s="9" t="str">
        <v>Birmingham</v>
      </c>
      <c r="C8" s="3"/>
      <c r="D8" s="7">
        <f>VALUE(SUBSTITUTE(SUBSTITUTE(RIGHT(Data1!C5,LEN(Data1!C5)-FIND("L",Data1!C5)),"Ø","0")," ",""))</f>
        <v>34</v>
      </c>
      <c r="E8" s="7">
        <f>VALUE(SUBSTITUTE(SUBSTITUTE(RIGHT(Data1!D5,LEN(Data1!D5)-FIND("L",Data1!D5)),"Ø","0")," ",""))</f>
        <v>37</v>
      </c>
      <c r="F8" s="7">
        <f>VALUE(SUBSTITUTE(SUBSTITUTE(RIGHT(Data1!E5,LEN(Data1!E5)-FIND("L",Data1!E5)),"Ø","0")," ",""))</f>
        <v>44</v>
      </c>
      <c r="G8" s="7">
        <f>VALUE(SUBSTITUTE(SUBSTITUTE(RIGHT(Data1!F5,LEN(Data1!F5)-FIND("L",Data1!F5)),"Ø","0")," ",""))</f>
        <v>51</v>
      </c>
      <c r="H8" s="7">
        <f>VALUE(SUBSTITUTE(SUBSTITUTE(RIGHT(Data1!G5,LEN(Data1!G5)-FIND("L",Data1!G5)),"Ø","0")," ",""))</f>
        <v>60</v>
      </c>
      <c r="I8" s="7">
        <f>VALUE(SUBSTITUTE(SUBSTITUTE(RIGHT(Data1!H5,LEN(Data1!H5)-FIND("L",Data1!H5)),"Ø","0")," ",""))</f>
        <v>68</v>
      </c>
      <c r="J8" s="7">
        <f>VALUE(SUBSTITUTE(SUBSTITUTE(RIGHT(Data1!I5,LEN(Data1!I5)-FIND("L",Data1!I5)),"Ø","0")," ",""))</f>
        <v>71</v>
      </c>
      <c r="K8" s="7">
        <f>VALUE(SUBSTITUTE(SUBSTITUTE(RIGHT(Data1!J5,LEN(Data1!J5)-FIND("L",Data1!J5)),"Ø","0")," ",""))</f>
        <v>71</v>
      </c>
      <c r="L8" s="7">
        <f>VALUE(SUBSTITUTE(SUBSTITUTE(RIGHT(Data1!K5,LEN(Data1!K5)-FIND("L",Data1!K5)),"Ø","0")," ",""))</f>
        <v>64</v>
      </c>
      <c r="M8" s="7">
        <f>VALUE(SUBSTITUTE(SUBSTITUTE(RIGHT(Data1!L5,LEN(Data1!L5)-FIND("L",Data1!L5)),"Ø","0")," ",""))</f>
        <v>53</v>
      </c>
      <c r="N8" s="7">
        <f>VALUE(SUBSTITUTE(SUBSTITUTE(RIGHT(Data1!M5,LEN(Data1!M5)-FIND("L",Data1!M5)),"Ø","0")," ",""))</f>
        <v>44</v>
      </c>
      <c r="O8" s="7">
        <f>VALUE(SUBSTITUTE(SUBSTITUTE(RIGHT(Data1!N5,LEN(Data1!N5)-FIND("L",Data1!N5)),"Ø","0")," ",""))</f>
        <v>36</v>
      </c>
    </row>
    <row r="9" spans="2:15">
      <c r="B9" s="9" t="str">
        <v>Boston</v>
      </c>
      <c r="C9" s="3"/>
      <c r="D9" s="7">
        <f>VALUE(SUBSTITUTE(SUBSTITUTE(RIGHT(Data1!C6,LEN(Data1!C6)-FIND("L",Data1!C6)),"Ø","0")," ",""))</f>
        <v>22</v>
      </c>
      <c r="E9" s="7">
        <f>VALUE(SUBSTITUTE(SUBSTITUTE(RIGHT(Data1!D6,LEN(Data1!D6)-FIND("L",Data1!D6)),"Ø","0")," ",""))</f>
        <v>25</v>
      </c>
      <c r="F9" s="7">
        <f>VALUE(SUBSTITUTE(SUBSTITUTE(RIGHT(Data1!E6,LEN(Data1!E6)-FIND("L",Data1!E6)),"Ø","0")," ",""))</f>
        <v>31</v>
      </c>
      <c r="G9" s="7">
        <f>VALUE(SUBSTITUTE(SUBSTITUTE(RIGHT(Data1!F6,LEN(Data1!F6)-FIND("L",Data1!F6)),"Ø","0")," ",""))</f>
        <v>41</v>
      </c>
      <c r="H9" s="7">
        <f>VALUE(SUBSTITUTE(SUBSTITUTE(RIGHT(Data1!G6,LEN(Data1!G6)-FIND("L",Data1!G6)),"Ø","0")," ",""))</f>
        <v>50</v>
      </c>
      <c r="I9" s="7">
        <f>VALUE(SUBSTITUTE(SUBSTITUTE(RIGHT(Data1!H6,LEN(Data1!H6)-FIND("L",Data1!H6)),"Ø","0")," ",""))</f>
        <v>60</v>
      </c>
      <c r="J9" s="7">
        <f>VALUE(SUBSTITUTE(SUBSTITUTE(RIGHT(Data1!I6,LEN(Data1!I6)-FIND("L",Data1!I6)),"Ø","0")," ",""))</f>
        <v>65</v>
      </c>
      <c r="K9" s="7">
        <f>VALUE(SUBSTITUTE(SUBSTITUTE(RIGHT(Data1!J6,LEN(Data1!J6)-FIND("L",Data1!J6)),"Ø","0")," ",""))</f>
        <v>65</v>
      </c>
      <c r="L9" s="7">
        <f>VALUE(SUBSTITUTE(SUBSTITUTE(RIGHT(Data1!K6,LEN(Data1!K6)-FIND("L",Data1!K6)),"Ø","0")," ",""))</f>
        <v>57</v>
      </c>
      <c r="M9" s="7">
        <f>VALUE(SUBSTITUTE(SUBSTITUTE(RIGHT(Data1!L6,LEN(Data1!L6)-FIND("L",Data1!L6)),"Ø","0")," ",""))</f>
        <v>47</v>
      </c>
      <c r="N9" s="7">
        <f>VALUE(SUBSTITUTE(SUBSTITUTE(RIGHT(Data1!M6,LEN(Data1!M6)-FIND("L",Data1!M6)),"Ø","0")," ",""))</f>
        <v>38</v>
      </c>
      <c r="O9" s="7">
        <f>VALUE(SUBSTITUTE(SUBSTITUTE(RIGHT(Data1!N6,LEN(Data1!N6)-FIND("L",Data1!N6)),"Ø","0")," ",""))</f>
        <v>28</v>
      </c>
    </row>
    <row r="10" spans="2:15">
      <c r="B10" s="9" t="str">
        <v>Buffalo</v>
      </c>
      <c r="C10" s="3"/>
      <c r="D10" s="7">
        <f>VALUE(SUBSTITUTE(SUBSTITUTE(RIGHT(Data1!C7,LEN(Data1!C7)-FIND("L",Data1!C7)),"Ø","0")," ",""))</f>
        <v>19</v>
      </c>
      <c r="E10" s="7">
        <f>VALUE(SUBSTITUTE(SUBSTITUTE(RIGHT(Data1!D7,LEN(Data1!D7)-FIND("L",Data1!D7)),"Ø","0")," ",""))</f>
        <v>19</v>
      </c>
      <c r="F10" s="7">
        <f>VALUE(SUBSTITUTE(SUBSTITUTE(RIGHT(Data1!E7,LEN(Data1!E7)-FIND("L",Data1!E7)),"Ø","0")," ",""))</f>
        <v>26</v>
      </c>
      <c r="G10" s="7">
        <f>VALUE(SUBSTITUTE(SUBSTITUTE(RIGHT(Data1!F7,LEN(Data1!F7)-FIND("L",Data1!F7)),"Ø","0")," ",""))</f>
        <v>37</v>
      </c>
      <c r="H10" s="7">
        <f>VALUE(SUBSTITUTE(SUBSTITUTE(RIGHT(Data1!G7,LEN(Data1!G7)-FIND("L",Data1!G7)),"Ø","0")," ",""))</f>
        <v>47</v>
      </c>
      <c r="I10" s="7">
        <f>VALUE(SUBSTITUTE(SUBSTITUTE(RIGHT(Data1!H7,LEN(Data1!H7)-FIND("L",Data1!H7)),"Ø","0")," ",""))</f>
        <v>57</v>
      </c>
      <c r="J10" s="7">
        <f>VALUE(SUBSTITUTE(SUBSTITUTE(RIGHT(Data1!I7,LEN(Data1!I7)-FIND("L",Data1!I7)),"Ø","0")," ",""))</f>
        <v>62</v>
      </c>
      <c r="K10" s="7">
        <f>VALUE(SUBSTITUTE(SUBSTITUTE(RIGHT(Data1!J7,LEN(Data1!J7)-FIND("L",Data1!J7)),"Ø","0")," ",""))</f>
        <v>61</v>
      </c>
      <c r="L10" s="7">
        <f>VALUE(SUBSTITUTE(SUBSTITUTE(RIGHT(Data1!K7,LEN(Data1!K7)-FIND("L",Data1!K7)),"Ø","0")," ",""))</f>
        <v>53</v>
      </c>
      <c r="M10" s="7">
        <f>VALUE(SUBSTITUTE(SUBSTITUTE(RIGHT(Data1!L7,LEN(Data1!L7)-FIND("L",Data1!L7)),"Ø","0")," ",""))</f>
        <v>43</v>
      </c>
      <c r="N10" s="7">
        <f>VALUE(SUBSTITUTE(SUBSTITUTE(RIGHT(Data1!M7,LEN(Data1!M7)-FIND("L",Data1!M7)),"Ø","0")," ",""))</f>
        <v>34</v>
      </c>
      <c r="O10" s="7">
        <f>VALUE(SUBSTITUTE(SUBSTITUTE(RIGHT(Data1!N7,LEN(Data1!N7)-FIND("L",Data1!N7)),"Ø","0")," ",""))</f>
        <v>24</v>
      </c>
    </row>
    <row r="11" spans="2:15">
      <c r="B11" s="9" t="str">
        <v>Charlotte</v>
      </c>
      <c r="C11" s="3"/>
      <c r="D11" s="7">
        <f>VALUE(SUBSTITUTE(SUBSTITUTE(RIGHT(Data1!C8,LEN(Data1!C8)-FIND("L",Data1!C8)),"Ø","0")," ",""))</f>
        <v>30</v>
      </c>
      <c r="E11" s="7">
        <f>VALUE(SUBSTITUTE(SUBSTITUTE(RIGHT(Data1!D8,LEN(Data1!D8)-FIND("L",Data1!D8)),"Ø","0")," ",""))</f>
        <v>33</v>
      </c>
      <c r="F11" s="7">
        <f>VALUE(SUBSTITUTE(SUBSTITUTE(RIGHT(Data1!E8,LEN(Data1!E8)-FIND("L",Data1!E8)),"Ø","0")," ",""))</f>
        <v>39</v>
      </c>
      <c r="G11" s="7">
        <f>VALUE(SUBSTITUTE(SUBSTITUTE(RIGHT(Data1!F8,LEN(Data1!F8)-FIND("L",Data1!F8)),"Ø","0")," ",""))</f>
        <v>47</v>
      </c>
      <c r="H11" s="7">
        <f>VALUE(SUBSTITUTE(SUBSTITUTE(RIGHT(Data1!G8,LEN(Data1!G8)-FIND("L",Data1!G8)),"Ø","0")," ",""))</f>
        <v>56</v>
      </c>
      <c r="I11" s="7">
        <f>VALUE(SUBSTITUTE(SUBSTITUTE(RIGHT(Data1!H8,LEN(Data1!H8)-FIND("L",Data1!H8)),"Ø","0")," ",""))</f>
        <v>65</v>
      </c>
      <c r="J11" s="7">
        <f>VALUE(SUBSTITUTE(SUBSTITUTE(RIGHT(Data1!I8,LEN(Data1!I8)-FIND("L",Data1!I8)),"Ø","0")," ",""))</f>
        <v>68</v>
      </c>
      <c r="K11" s="7">
        <f>VALUE(SUBSTITUTE(SUBSTITUTE(RIGHT(Data1!J8,LEN(Data1!J8)-FIND("L",Data1!J8)),"Ø","0")," ",""))</f>
        <v>67</v>
      </c>
      <c r="L11" s="7">
        <f>VALUE(SUBSTITUTE(SUBSTITUTE(RIGHT(Data1!K8,LEN(Data1!K8)-FIND("L",Data1!K8)),"Ø","0")," ",""))</f>
        <v>60</v>
      </c>
      <c r="M11" s="7">
        <f>VALUE(SUBSTITUTE(SUBSTITUTE(RIGHT(Data1!L8,LEN(Data1!L8)-FIND("L",Data1!L8)),"Ø","0")," ",""))</f>
        <v>49</v>
      </c>
      <c r="N11" s="7">
        <f>VALUE(SUBSTITUTE(SUBSTITUTE(RIGHT(Data1!M8,LEN(Data1!M8)-FIND("L",Data1!M8)),"Ø","0")," ",""))</f>
        <v>39</v>
      </c>
      <c r="O11" s="7">
        <f>VALUE(SUBSTITUTE(SUBSTITUTE(RIGHT(Data1!N8,LEN(Data1!N8)-FIND("L",Data1!N8)),"Ø","0")," ",""))</f>
        <v>32</v>
      </c>
    </row>
    <row r="12" spans="2:15">
      <c r="B12" s="9" t="str">
        <v>Chicago</v>
      </c>
      <c r="C12" s="3"/>
      <c r="D12" s="7">
        <f>VALUE(SUBSTITUTE(SUBSTITUTE(RIGHT(Data1!C9,LEN(Data1!C9)-FIND("L",Data1!C9)),"Ø","0")," ",""))</f>
        <v>17</v>
      </c>
      <c r="E12" s="7">
        <f>VALUE(SUBSTITUTE(SUBSTITUTE(RIGHT(Data1!D9,LEN(Data1!D9)-FIND("L",Data1!D9)),"Ø","0")," ",""))</f>
        <v>20</v>
      </c>
      <c r="F12" s="7">
        <f>VALUE(SUBSTITUTE(SUBSTITUTE(RIGHT(Data1!E9,LEN(Data1!E9)-FIND("L",Data1!E9)),"Ø","0")," ",""))</f>
        <v>29</v>
      </c>
      <c r="G12" s="7">
        <f>VALUE(SUBSTITUTE(SUBSTITUTE(RIGHT(Data1!F9,LEN(Data1!F9)-FIND("L",Data1!F9)),"Ø","0")," ",""))</f>
        <v>39</v>
      </c>
      <c r="H12" s="7">
        <f>VALUE(SUBSTITUTE(SUBSTITUTE(RIGHT(Data1!G9,LEN(Data1!G9)-FIND("L",Data1!G9)),"Ø","0")," ",""))</f>
        <v>48</v>
      </c>
      <c r="I12" s="7">
        <f>VALUE(SUBSTITUTE(SUBSTITUTE(RIGHT(Data1!H9,LEN(Data1!H9)-FIND("L",Data1!H9)),"Ø","0")," ",""))</f>
        <v>58</v>
      </c>
      <c r="J12" s="7">
        <f>VALUE(SUBSTITUTE(SUBSTITUTE(RIGHT(Data1!I9,LEN(Data1!I9)-FIND("L",Data1!I9)),"Ø","0")," ",""))</f>
        <v>64</v>
      </c>
      <c r="K12" s="7">
        <f>VALUE(SUBSTITUTE(SUBSTITUTE(RIGHT(Data1!J9,LEN(Data1!J9)-FIND("L",Data1!J9)),"Ø","0")," ",""))</f>
        <v>63</v>
      </c>
      <c r="L12" s="7">
        <f>VALUE(SUBSTITUTE(SUBSTITUTE(RIGHT(Data1!K9,LEN(Data1!K9)-FIND("L",Data1!K9)),"Ø","0")," ",""))</f>
        <v>54</v>
      </c>
      <c r="M12" s="7">
        <f>VALUE(SUBSTITUTE(SUBSTITUTE(RIGHT(Data1!L9,LEN(Data1!L9)-FIND("L",Data1!L9)),"Ø","0")," ",""))</f>
        <v>43</v>
      </c>
      <c r="N12" s="7">
        <f>VALUE(SUBSTITUTE(SUBSTITUTE(RIGHT(Data1!M9,LEN(Data1!M9)-FIND("L",Data1!M9)),"Ø","0")," ",""))</f>
        <v>32</v>
      </c>
      <c r="O12" s="7">
        <f>VALUE(SUBSTITUTE(SUBSTITUTE(RIGHT(Data1!N9,LEN(Data1!N9)-FIND("L",Data1!N9)),"Ø","0")," ",""))</f>
        <v>21</v>
      </c>
    </row>
    <row r="13" spans="2:15">
      <c r="B13" s="9" t="str">
        <v>Cincinnati</v>
      </c>
      <c r="C13" s="3"/>
      <c r="D13" s="7">
        <f>VALUE(SUBSTITUTE(SUBSTITUTE(RIGHT(Data1!C10,LEN(Data1!C10)-FIND("L",Data1!C10)),"Ø","0")," ",""))</f>
        <v>22</v>
      </c>
      <c r="E13" s="7">
        <f>VALUE(SUBSTITUTE(SUBSTITUTE(RIGHT(Data1!D10,LEN(Data1!D10)-FIND("L",Data1!D10)),"Ø","0")," ",""))</f>
        <v>25</v>
      </c>
      <c r="F13" s="7">
        <f>VALUE(SUBSTITUTE(SUBSTITUTE(RIGHT(Data1!E10,LEN(Data1!E10)-FIND("L",Data1!E10)),"Ø","0")," ",""))</f>
        <v>33</v>
      </c>
      <c r="G13" s="7">
        <f>VALUE(SUBSTITUTE(SUBSTITUTE(RIGHT(Data1!F10,LEN(Data1!F10)-FIND("L",Data1!F10)),"Ø","0")," ",""))</f>
        <v>42</v>
      </c>
      <c r="H13" s="7">
        <f>VALUE(SUBSTITUTE(SUBSTITUTE(RIGHT(Data1!G10,LEN(Data1!G10)-FIND("L",Data1!G10)),"Ø","0")," ",""))</f>
        <v>52</v>
      </c>
      <c r="I13" s="7">
        <f>VALUE(SUBSTITUTE(SUBSTITUTE(RIGHT(Data1!H10,LEN(Data1!H10)-FIND("L",Data1!H10)),"Ø","0")," ",""))</f>
        <v>61</v>
      </c>
      <c r="J13" s="7">
        <f>VALUE(SUBSTITUTE(SUBSTITUTE(RIGHT(Data1!I10,LEN(Data1!I10)-FIND("L",Data1!I10)),"Ø","0")," ",""))</f>
        <v>65</v>
      </c>
      <c r="K13" s="7">
        <f>VALUE(SUBSTITUTE(SUBSTITUTE(RIGHT(Data1!J10,LEN(Data1!J10)-FIND("L",Data1!J10)),"Ø","0")," ",""))</f>
        <v>63</v>
      </c>
      <c r="L13" s="7">
        <f>VALUE(SUBSTITUTE(SUBSTITUTE(RIGHT(Data1!K10,LEN(Data1!K10)-FIND("L",Data1!K10)),"Ø","0")," ",""))</f>
        <v>55</v>
      </c>
      <c r="M13" s="7">
        <f>VALUE(SUBSTITUTE(SUBSTITUTE(RIGHT(Data1!L10,LEN(Data1!L10)-FIND("L",Data1!L10)),"Ø","0")," ",""))</f>
        <v>43</v>
      </c>
      <c r="N13" s="7">
        <f>VALUE(SUBSTITUTE(SUBSTITUTE(RIGHT(Data1!M10,LEN(Data1!M10)-FIND("L",Data1!M10)),"Ø","0")," ",""))</f>
        <v>34</v>
      </c>
      <c r="O13" s="7">
        <f>VALUE(SUBSTITUTE(SUBSTITUTE(RIGHT(Data1!N10,LEN(Data1!N10)-FIND("L",Data1!N10)),"Ø","0")," ",""))</f>
        <v>26</v>
      </c>
    </row>
    <row r="14" spans="2:15">
      <c r="B14" s="9" t="str">
        <v>Cleveland</v>
      </c>
      <c r="C14" s="3"/>
      <c r="D14" s="7">
        <f>VALUE(SUBSTITUTE(SUBSTITUTE(RIGHT(Data1!C11,LEN(Data1!C11)-FIND("L",Data1!C11)),"Ø","0")," ",""))</f>
        <v>22</v>
      </c>
      <c r="E14" s="7">
        <f>VALUE(SUBSTITUTE(SUBSTITUTE(RIGHT(Data1!D11,LEN(Data1!D11)-FIND("L",Data1!D11)),"Ø","0")," ",""))</f>
        <v>24</v>
      </c>
      <c r="F14" s="7">
        <f>VALUE(SUBSTITUTE(SUBSTITUTE(RIGHT(Data1!E11,LEN(Data1!E11)-FIND("L",Data1!E11)),"Ø","0")," ",""))</f>
        <v>30</v>
      </c>
      <c r="G14" s="7">
        <f>VALUE(SUBSTITUTE(SUBSTITUTE(RIGHT(Data1!F11,LEN(Data1!F11)-FIND("L",Data1!F11)),"Ø","0")," ",""))</f>
        <v>40</v>
      </c>
      <c r="H14" s="7">
        <f>VALUE(SUBSTITUTE(SUBSTITUTE(RIGHT(Data1!G11,LEN(Data1!G11)-FIND("L",Data1!G11)),"Ø","0")," ",""))</f>
        <v>50</v>
      </c>
      <c r="I14" s="7">
        <f>VALUE(SUBSTITUTE(SUBSTITUTE(RIGHT(Data1!H11,LEN(Data1!H11)-FIND("L",Data1!H11)),"Ø","0")," ",""))</f>
        <v>60</v>
      </c>
      <c r="J14" s="7">
        <f>VALUE(SUBSTITUTE(SUBSTITUTE(RIGHT(Data1!I11,LEN(Data1!I11)-FIND("L",Data1!I11)),"Ø","0")," ",""))</f>
        <v>64</v>
      </c>
      <c r="K14" s="7">
        <f>VALUE(SUBSTITUTE(SUBSTITUTE(RIGHT(Data1!J11,LEN(Data1!J11)-FIND("L",Data1!J11)),"Ø","0")," ",""))</f>
        <v>63</v>
      </c>
      <c r="L14" s="7">
        <f>VALUE(SUBSTITUTE(SUBSTITUTE(RIGHT(Data1!K11,LEN(Data1!K11)-FIND("L",Data1!K11)),"Ø","0")," ",""))</f>
        <v>56</v>
      </c>
      <c r="M14" s="7">
        <f>VALUE(SUBSTITUTE(SUBSTITUTE(RIGHT(Data1!L11,LEN(Data1!L11)-FIND("L",Data1!L11)),"Ø","0")," ",""))</f>
        <v>45</v>
      </c>
      <c r="N14" s="7">
        <f>VALUE(SUBSTITUTE(SUBSTITUTE(RIGHT(Data1!M11,LEN(Data1!M11)-FIND("L",Data1!M11)),"Ø","0")," ",""))</f>
        <v>37</v>
      </c>
      <c r="O14" s="7">
        <f>VALUE(SUBSTITUTE(SUBSTITUTE(RIGHT(Data1!N11,LEN(Data1!N11)-FIND("L",Data1!N11)),"Ø","0")," ",""))</f>
        <v>26</v>
      </c>
    </row>
    <row r="15" spans="2:15">
      <c r="B15" s="9" t="str">
        <v>Columbus</v>
      </c>
      <c r="C15" s="3"/>
      <c r="D15" s="7">
        <f>VALUE(SUBSTITUTE(SUBSTITUTE(RIGHT(Data1!C12,LEN(Data1!C12)-FIND("L",Data1!C12)),"Ø","0")," ",""))</f>
        <v>23</v>
      </c>
      <c r="E15" s="7">
        <f>VALUE(SUBSTITUTE(SUBSTITUTE(RIGHT(Data1!D12,LEN(Data1!D12)-FIND("L",Data1!D12)),"Ø","0")," ",""))</f>
        <v>25</v>
      </c>
      <c r="F15" s="7">
        <f>VALUE(SUBSTITUTE(SUBSTITUTE(RIGHT(Data1!E12,LEN(Data1!E12)-FIND("L",Data1!E12)),"Ø","0")," ",""))</f>
        <v>33</v>
      </c>
      <c r="G15" s="7">
        <f>VALUE(SUBSTITUTE(SUBSTITUTE(RIGHT(Data1!F12,LEN(Data1!F12)-FIND("L",Data1!F12)),"Ø","0")," ",""))</f>
        <v>43</v>
      </c>
      <c r="H15" s="7">
        <f>VALUE(SUBSTITUTE(SUBSTITUTE(RIGHT(Data1!G12,LEN(Data1!G12)-FIND("L",Data1!G12)),"Ø","0")," ",""))</f>
        <v>52</v>
      </c>
      <c r="I15" s="7">
        <f>VALUE(SUBSTITUTE(SUBSTITUTE(RIGHT(Data1!H12,LEN(Data1!H12)-FIND("L",Data1!H12)),"Ø","0")," ",""))</f>
        <v>62</v>
      </c>
      <c r="J15" s="7">
        <f>VALUE(SUBSTITUTE(SUBSTITUTE(RIGHT(Data1!I12,LEN(Data1!I12)-FIND("L",Data1!I12)),"Ø","0")," ",""))</f>
        <v>66</v>
      </c>
      <c r="K15" s="7">
        <f>VALUE(SUBSTITUTE(SUBSTITUTE(RIGHT(Data1!J12,LEN(Data1!J12)-FIND("L",Data1!J12)),"Ø","0")," ",""))</f>
        <v>64</v>
      </c>
      <c r="L15" s="7">
        <f>VALUE(SUBSTITUTE(SUBSTITUTE(RIGHT(Data1!K12,LEN(Data1!K12)-FIND("L",Data1!K12)),"Ø","0")," ",""))</f>
        <v>57</v>
      </c>
      <c r="M15" s="7">
        <f>VALUE(SUBSTITUTE(SUBSTITUTE(RIGHT(Data1!L12,LEN(Data1!L12)-FIND("L",Data1!L12)),"Ø","0")," ",""))</f>
        <v>45</v>
      </c>
      <c r="N15" s="7">
        <f>VALUE(SUBSTITUTE(SUBSTITUTE(RIGHT(Data1!M12,LEN(Data1!M12)-FIND("L",Data1!M12)),"Ø","0")," ",""))</f>
        <v>36</v>
      </c>
      <c r="O15" s="7">
        <f>VALUE(SUBSTITUTE(SUBSTITUTE(RIGHT(Data1!N12,LEN(Data1!N12)-FIND("L",Data1!N12)),"Ø","0")," ",""))</f>
        <v>27</v>
      </c>
    </row>
    <row r="16" spans="2:15">
      <c r="B16" s="9" t="str">
        <v>Dallas</v>
      </c>
      <c r="C16" s="3"/>
      <c r="D16" s="7">
        <f>VALUE(SUBSTITUTE(SUBSTITUTE(RIGHT(Data1!C13,LEN(Data1!C13)-FIND("L",Data1!C13)),"Ø","0")," ",""))</f>
        <v>37</v>
      </c>
      <c r="E16" s="7">
        <f>VALUE(SUBSTITUTE(SUBSTITUTE(RIGHT(Data1!D13,LEN(Data1!D13)-FIND("L",Data1!D13)),"Ø","0")," ",""))</f>
        <v>41</v>
      </c>
      <c r="F16" s="7">
        <f>VALUE(SUBSTITUTE(SUBSTITUTE(RIGHT(Data1!E13,LEN(Data1!E13)-FIND("L",Data1!E13)),"Ø","0")," ",""))</f>
        <v>49</v>
      </c>
      <c r="G16" s="7">
        <f>VALUE(SUBSTITUTE(SUBSTITUTE(RIGHT(Data1!F13,LEN(Data1!F13)-FIND("L",Data1!F13)),"Ø","0")," ",""))</f>
        <v>56</v>
      </c>
      <c r="H16" s="7">
        <f>VALUE(SUBSTITUTE(SUBSTITUTE(RIGHT(Data1!G13,LEN(Data1!G13)-FIND("L",Data1!G13)),"Ø","0")," ",""))</f>
        <v>65</v>
      </c>
      <c r="I16" s="7">
        <f>VALUE(SUBSTITUTE(SUBSTITUTE(RIGHT(Data1!H13,LEN(Data1!H13)-FIND("L",Data1!H13)),"Ø","0")," ",""))</f>
        <v>73</v>
      </c>
      <c r="J16" s="7">
        <f>VALUE(SUBSTITUTE(SUBSTITUTE(RIGHT(Data1!I13,LEN(Data1!I13)-FIND("L",Data1!I13)),"Ø","0")," ",""))</f>
        <v>77</v>
      </c>
      <c r="K16" s="7">
        <f>VALUE(SUBSTITUTE(SUBSTITUTE(RIGHT(Data1!J13,LEN(Data1!J13)-FIND("L",Data1!J13)),"Ø","0")," ",""))</f>
        <v>77</v>
      </c>
      <c r="L16" s="7">
        <f>VALUE(SUBSTITUTE(SUBSTITUTE(RIGHT(Data1!K13,LEN(Data1!K13)-FIND("L",Data1!K13)),"Ø","0")," ",""))</f>
        <v>69</v>
      </c>
      <c r="M16" s="7">
        <f>VALUE(SUBSTITUTE(SUBSTITUTE(RIGHT(Data1!L13,LEN(Data1!L13)-FIND("L",Data1!L13)),"Ø","0")," ",""))</f>
        <v>58</v>
      </c>
      <c r="N16" s="7">
        <f>VALUE(SUBSTITUTE(SUBSTITUTE(RIGHT(Data1!M13,LEN(Data1!M13)-FIND("L",Data1!M13)),"Ø","0")," ",""))</f>
        <v>48</v>
      </c>
      <c r="O16" s="7">
        <f>VALUE(SUBSTITUTE(SUBSTITUTE(RIGHT(Data1!N13,LEN(Data1!N13)-FIND("L",Data1!N13)),"Ø","0")," ",""))</f>
        <v>39</v>
      </c>
    </row>
    <row r="17" spans="2:15">
      <c r="B17" s="9" t="str">
        <v>Denver</v>
      </c>
      <c r="C17" s="3"/>
      <c r="D17" s="7">
        <f>VALUE(SUBSTITUTE(SUBSTITUTE(RIGHT(Data1!C14,LEN(Data1!C14)-FIND("L",Data1!C14)),"Ø","0")," ",""))</f>
        <v>17</v>
      </c>
      <c r="E17" s="7">
        <f>VALUE(SUBSTITUTE(SUBSTITUTE(RIGHT(Data1!D14,LEN(Data1!D14)-FIND("L",Data1!D14)),"Ø","0")," ",""))</f>
        <v>20</v>
      </c>
      <c r="F17" s="7">
        <f>VALUE(SUBSTITUTE(SUBSTITUTE(RIGHT(Data1!E14,LEN(Data1!E14)-FIND("L",Data1!E14)),"Ø","0")," ",""))</f>
        <v>26</v>
      </c>
      <c r="G17" s="7">
        <f>VALUE(SUBSTITUTE(SUBSTITUTE(RIGHT(Data1!F14,LEN(Data1!F14)-FIND("L",Data1!F14)),"Ø","0")," ",""))</f>
        <v>34</v>
      </c>
      <c r="H17" s="7">
        <f>VALUE(SUBSTITUTE(SUBSTITUTE(RIGHT(Data1!G14,LEN(Data1!G14)-FIND("L",Data1!G14)),"Ø","0")," ",""))</f>
        <v>44</v>
      </c>
      <c r="I17" s="7">
        <f>VALUE(SUBSTITUTE(SUBSTITUTE(RIGHT(Data1!H14,LEN(Data1!H14)-FIND("L",Data1!H14)),"Ø","0")," ",""))</f>
        <v>53</v>
      </c>
      <c r="J17" s="7">
        <f>VALUE(SUBSTITUTE(SUBSTITUTE(RIGHT(Data1!I14,LEN(Data1!I14)-FIND("L",Data1!I14)),"Ø","0")," ",""))</f>
        <v>59</v>
      </c>
      <c r="K17" s="7">
        <f>VALUE(SUBSTITUTE(SUBSTITUTE(RIGHT(Data1!J14,LEN(Data1!J14)-FIND("L",Data1!J14)),"Ø","0")," ",""))</f>
        <v>57</v>
      </c>
      <c r="L17" s="7">
        <f>VALUE(SUBSTITUTE(SUBSTITUTE(RIGHT(Data1!K14,LEN(Data1!K14)-FIND("L",Data1!K14)),"Ø","0")," ",""))</f>
        <v>48</v>
      </c>
      <c r="M17" s="7">
        <f>VALUE(SUBSTITUTE(SUBSTITUTE(RIGHT(Data1!L14,LEN(Data1!L14)-FIND("L",Data1!L14)),"Ø","0")," ",""))</f>
        <v>36</v>
      </c>
      <c r="N17" s="7">
        <f>VALUE(SUBSTITUTE(SUBSTITUTE(RIGHT(Data1!M14,LEN(Data1!M14)-FIND("L",Data1!M14)),"Ø","0")," ",""))</f>
        <v>25</v>
      </c>
      <c r="O17" s="7">
        <f>VALUE(SUBSTITUTE(SUBSTITUTE(RIGHT(Data1!N14,LEN(Data1!N14)-FIND("L",Data1!N14)),"Ø","0")," ",""))</f>
        <v>17</v>
      </c>
    </row>
    <row r="18" spans="2:15">
      <c r="B18" s="9" t="str">
        <v>Detroit</v>
      </c>
      <c r="C18" s="3"/>
      <c r="D18" s="7">
        <f>VALUE(SUBSTITUTE(SUBSTITUTE(RIGHT(Data1!C15,LEN(Data1!C15)-FIND("L",Data1!C15)),"Ø","0")," ",""))</f>
        <v>19</v>
      </c>
      <c r="E18" s="7">
        <f>VALUE(SUBSTITUTE(SUBSTITUTE(RIGHT(Data1!D15,LEN(Data1!D15)-FIND("L",Data1!D15)),"Ø","0")," ",""))</f>
        <v>21</v>
      </c>
      <c r="F18" s="7">
        <f>VALUE(SUBSTITUTE(SUBSTITUTE(RIGHT(Data1!E15,LEN(Data1!E15)-FIND("L",Data1!E15)),"Ø","0")," ",""))</f>
        <v>29</v>
      </c>
      <c r="G18" s="7">
        <f>VALUE(SUBSTITUTE(SUBSTITUTE(RIGHT(Data1!F15,LEN(Data1!F15)-FIND("L",Data1!F15)),"Ø","0")," ",""))</f>
        <v>39</v>
      </c>
      <c r="H18" s="7">
        <f>VALUE(SUBSTITUTE(SUBSTITUTE(RIGHT(Data1!G15,LEN(Data1!G15)-FIND("L",Data1!G15)),"Ø","0")," ",""))</f>
        <v>49</v>
      </c>
      <c r="I18" s="7">
        <f>VALUE(SUBSTITUTE(SUBSTITUTE(RIGHT(Data1!H15,LEN(Data1!H15)-FIND("L",Data1!H15)),"Ø","0")," ",""))</f>
        <v>60</v>
      </c>
      <c r="J18" s="7">
        <f>VALUE(SUBSTITUTE(SUBSTITUTE(RIGHT(Data1!I15,LEN(Data1!I15)-FIND("L",Data1!I15)),"Ø","0")," ",""))</f>
        <v>64</v>
      </c>
      <c r="K18" s="7">
        <f>VALUE(SUBSTITUTE(SUBSTITUTE(RIGHT(Data1!J15,LEN(Data1!J15)-FIND("L",Data1!J15)),"Ø","0")," ",""))</f>
        <v>63</v>
      </c>
      <c r="L18" s="7">
        <f>VALUE(SUBSTITUTE(SUBSTITUTE(RIGHT(Data1!K15,LEN(Data1!K15)-FIND("L",Data1!K15)),"Ø","0")," ",""))</f>
        <v>55</v>
      </c>
      <c r="M18" s="7">
        <f>VALUE(SUBSTITUTE(SUBSTITUTE(RIGHT(Data1!L15,LEN(Data1!L15)-FIND("L",Data1!L15)),"Ø","0")," ",""))</f>
        <v>43</v>
      </c>
      <c r="N18" s="7">
        <f>VALUE(SUBSTITUTE(SUBSTITUTE(RIGHT(Data1!M15,LEN(Data1!M15)-FIND("L",Data1!M15)),"Ø","0")," ",""))</f>
        <v>34</v>
      </c>
      <c r="O18" s="7">
        <f>VALUE(SUBSTITUTE(SUBSTITUTE(RIGHT(Data1!N15,LEN(Data1!N15)-FIND("L",Data1!N15)),"Ø","0")," ",""))</f>
        <v>24</v>
      </c>
    </row>
    <row r="19" spans="2:15">
      <c r="B19" s="9" t="str">
        <v>Hartford</v>
      </c>
      <c r="C19" s="3"/>
      <c r="D19" s="7">
        <f>VALUE(SUBSTITUTE(SUBSTITUTE(RIGHT(Data1!C16,LEN(Data1!C16)-FIND("L",Data1!C16)),"Ø","0")," ",""))</f>
        <v>18</v>
      </c>
      <c r="E19" s="7">
        <f>VALUE(SUBSTITUTE(SUBSTITUTE(RIGHT(Data1!D16,LEN(Data1!D16)-FIND("L",Data1!D16)),"Ø","0")," ",""))</f>
        <v>21</v>
      </c>
      <c r="F19" s="7">
        <f>VALUE(SUBSTITUTE(SUBSTITUTE(RIGHT(Data1!E16,LEN(Data1!E16)-FIND("L",Data1!E16)),"Ø","0")," ",""))</f>
        <v>28</v>
      </c>
      <c r="G19" s="7">
        <f>VALUE(SUBSTITUTE(SUBSTITUTE(RIGHT(Data1!F16,LEN(Data1!F16)-FIND("L",Data1!F16)),"Ø","0")," ",""))</f>
        <v>38</v>
      </c>
      <c r="H19" s="7">
        <f>VALUE(SUBSTITUTE(SUBSTITUTE(RIGHT(Data1!G16,LEN(Data1!G16)-FIND("L",Data1!G16)),"Ø","0")," ",""))</f>
        <v>48</v>
      </c>
      <c r="I19" s="7">
        <f>VALUE(SUBSTITUTE(SUBSTITUTE(RIGHT(Data1!H16,LEN(Data1!H16)-FIND("L",Data1!H16)),"Ø","0")," ",""))</f>
        <v>57</v>
      </c>
      <c r="J19" s="7">
        <f>VALUE(SUBSTITUTE(SUBSTITUTE(RIGHT(Data1!I16,LEN(Data1!I16)-FIND("L",Data1!I16)),"Ø","0")," ",""))</f>
        <v>63</v>
      </c>
      <c r="K19" s="7">
        <f>VALUE(SUBSTITUTE(SUBSTITUTE(RIGHT(Data1!J16,LEN(Data1!J16)-FIND("L",Data1!J16)),"Ø","0")," ",""))</f>
        <v>61</v>
      </c>
      <c r="L19" s="7">
        <f>VALUE(SUBSTITUTE(SUBSTITUTE(RIGHT(Data1!K16,LEN(Data1!K16)-FIND("L",Data1!K16)),"Ø","0")," ",""))</f>
        <v>53</v>
      </c>
      <c r="M19" s="7">
        <f>VALUE(SUBSTITUTE(SUBSTITUTE(RIGHT(Data1!L16,LEN(Data1!L16)-FIND("L",Data1!L16)),"Ø","0")," ",""))</f>
        <v>41</v>
      </c>
      <c r="N19" s="7">
        <f>VALUE(SUBSTITUTE(SUBSTITUTE(RIGHT(Data1!M16,LEN(Data1!M16)-FIND("L",Data1!M16)),"Ø","0")," ",""))</f>
        <v>33</v>
      </c>
      <c r="O19" s="7">
        <f>VALUE(SUBSTITUTE(SUBSTITUTE(RIGHT(Data1!N16,LEN(Data1!N16)-FIND("L",Data1!N16)),"Ø","0")," ",""))</f>
        <v>23</v>
      </c>
    </row>
    <row r="20" spans="2:15">
      <c r="B20" s="9" t="str">
        <v>Houston</v>
      </c>
      <c r="C20" s="3"/>
      <c r="D20" s="7">
        <f>VALUE(SUBSTITUTE(SUBSTITUTE(RIGHT(Data1!C17,LEN(Data1!C17)-FIND("L",Data1!C17)),"Ø","0")," ",""))</f>
        <v>43</v>
      </c>
      <c r="E20" s="7">
        <f>VALUE(SUBSTITUTE(SUBSTITUTE(RIGHT(Data1!D17,LEN(Data1!D17)-FIND("L",Data1!D17)),"Ø","0")," ",""))</f>
        <v>47</v>
      </c>
      <c r="F20" s="7">
        <f>VALUE(SUBSTITUTE(SUBSTITUTE(RIGHT(Data1!E17,LEN(Data1!E17)-FIND("L",Data1!E17)),"Ø","0")," ",""))</f>
        <v>53</v>
      </c>
      <c r="G20" s="7">
        <f>VALUE(SUBSTITUTE(SUBSTITUTE(RIGHT(Data1!F17,LEN(Data1!F17)-FIND("L",Data1!F17)),"Ø","0")," ",""))</f>
        <v>59</v>
      </c>
      <c r="H20" s="7">
        <f>VALUE(SUBSTITUTE(SUBSTITUTE(RIGHT(Data1!G17,LEN(Data1!G17)-FIND("L",Data1!G17)),"Ø","0")," ",""))</f>
        <v>68</v>
      </c>
      <c r="I20" s="7">
        <f>VALUE(SUBSTITUTE(SUBSTITUTE(RIGHT(Data1!H17,LEN(Data1!H17)-FIND("L",Data1!H17)),"Ø","0")," ",""))</f>
        <v>73</v>
      </c>
      <c r="J20" s="7">
        <f>VALUE(SUBSTITUTE(SUBSTITUTE(RIGHT(Data1!I17,LEN(Data1!I17)-FIND("L",Data1!I17)),"Ø","0")," ",""))</f>
        <v>75</v>
      </c>
      <c r="K20" s="7">
        <f>VALUE(SUBSTITUTE(SUBSTITUTE(RIGHT(Data1!J17,LEN(Data1!J17)-FIND("L",Data1!J17)),"Ø","0")," ",""))</f>
        <v>75</v>
      </c>
      <c r="L20" s="7">
        <f>VALUE(SUBSTITUTE(SUBSTITUTE(RIGHT(Data1!K17,LEN(Data1!K17)-FIND("L",Data1!K17)),"Ø","0")," ",""))</f>
        <v>70</v>
      </c>
      <c r="M20" s="7">
        <f>VALUE(SUBSTITUTE(SUBSTITUTE(RIGHT(Data1!L17,LEN(Data1!L17)-FIND("L",Data1!L17)),"Ø","0")," ",""))</f>
        <v>61</v>
      </c>
      <c r="N20" s="7">
        <f>VALUE(SUBSTITUTE(SUBSTITUTE(RIGHT(Data1!M17,LEN(Data1!M17)-FIND("L",Data1!M17)),"Ø","0")," ",""))</f>
        <v>52</v>
      </c>
      <c r="O20" s="7">
        <f>VALUE(SUBSTITUTE(SUBSTITUTE(RIGHT(Data1!N17,LEN(Data1!N17)-FIND("L",Data1!N17)),"Ø","0")," ",""))</f>
        <v>45</v>
      </c>
    </row>
    <row r="21" spans="2:15">
      <c r="B21" s="9" t="str">
        <v>Indianapolis</v>
      </c>
      <c r="C21" s="3"/>
      <c r="D21" s="7">
        <f>VALUE(SUBSTITUTE(SUBSTITUTE(RIGHT(Data1!C18,LEN(Data1!C18)-FIND("L",Data1!C18)),"Ø","0")," ",""))</f>
        <v>21</v>
      </c>
      <c r="E21" s="7">
        <f>VALUE(SUBSTITUTE(SUBSTITUTE(RIGHT(Data1!D18,LEN(Data1!D18)-FIND("L",Data1!D18)),"Ø","0")," ",""))</f>
        <v>24</v>
      </c>
      <c r="F21" s="7">
        <f>VALUE(SUBSTITUTE(SUBSTITUTE(RIGHT(Data1!E18,LEN(Data1!E18)-FIND("L",Data1!E18)),"Ø","0")," ",""))</f>
        <v>33</v>
      </c>
      <c r="G21" s="7">
        <f>VALUE(SUBSTITUTE(SUBSTITUTE(RIGHT(Data1!F18,LEN(Data1!F18)-FIND("L",Data1!F18)),"Ø","0")," ",""))</f>
        <v>43</v>
      </c>
      <c r="H21" s="7">
        <f>VALUE(SUBSTITUTE(SUBSTITUTE(RIGHT(Data1!G18,LEN(Data1!G18)-FIND("L",Data1!G18)),"Ø","0")," ",""))</f>
        <v>53</v>
      </c>
      <c r="I21" s="7">
        <f>VALUE(SUBSTITUTE(SUBSTITUTE(RIGHT(Data1!H18,LEN(Data1!H18)-FIND("L",Data1!H18)),"Ø","0")," ",""))</f>
        <v>62</v>
      </c>
      <c r="J21" s="7">
        <f>VALUE(SUBSTITUTE(SUBSTITUTE(RIGHT(Data1!I18,LEN(Data1!I18)-FIND("L",Data1!I18)),"Ø","0")," ",""))</f>
        <v>66</v>
      </c>
      <c r="K21" s="7">
        <f>VALUE(SUBSTITUTE(SUBSTITUTE(RIGHT(Data1!J18,LEN(Data1!J18)-FIND("L",Data1!J18)),"Ø","0")," ",""))</f>
        <v>64</v>
      </c>
      <c r="L21" s="7">
        <f>VALUE(SUBSTITUTE(SUBSTITUTE(RIGHT(Data1!K18,LEN(Data1!K18)-FIND("L",Data1!K18)),"Ø","0")," ",""))</f>
        <v>56</v>
      </c>
      <c r="M21" s="7">
        <f>VALUE(SUBSTITUTE(SUBSTITUTE(RIGHT(Data1!L18,LEN(Data1!L18)-FIND("L",Data1!L18)),"Ø","0")," ",""))</f>
        <v>45</v>
      </c>
      <c r="N21" s="7">
        <f>VALUE(SUBSTITUTE(SUBSTITUTE(RIGHT(Data1!M18,LEN(Data1!M18)-FIND("L",Data1!M18)),"Ø","0")," ",""))</f>
        <v>35</v>
      </c>
      <c r="O21" s="7">
        <f>VALUE(SUBSTITUTE(SUBSTITUTE(RIGHT(Data1!N18,LEN(Data1!N18)-FIND("L",Data1!N18)),"Ø","0")," ",""))</f>
        <v>24</v>
      </c>
    </row>
    <row r="22" spans="2:15">
      <c r="B22" s="9" t="str">
        <v>Jacksonville</v>
      </c>
      <c r="C22" s="3"/>
      <c r="D22" s="7">
        <f>VALUE(SUBSTITUTE(SUBSTITUTE(RIGHT(Data1!C19,LEN(Data1!C19)-FIND("L",Data1!C19)),"Ø","0")," ",""))</f>
        <v>41</v>
      </c>
      <c r="E22" s="7">
        <f>VALUE(SUBSTITUTE(SUBSTITUTE(RIGHT(Data1!D19,LEN(Data1!D19)-FIND("L",Data1!D19)),"Ø","0")," ",""))</f>
        <v>45</v>
      </c>
      <c r="F22" s="7">
        <f>VALUE(SUBSTITUTE(SUBSTITUTE(RIGHT(Data1!E19,LEN(Data1!E19)-FIND("L",Data1!E19)),"Ø","0")," ",""))</f>
        <v>50</v>
      </c>
      <c r="G22" s="7">
        <f>VALUE(SUBSTITUTE(SUBSTITUTE(RIGHT(Data1!F19,LEN(Data1!F19)-FIND("L",Data1!F19)),"Ø","0")," ",""))</f>
        <v>55</v>
      </c>
      <c r="H22" s="7">
        <f>VALUE(SUBSTITUTE(SUBSTITUTE(RIGHT(Data1!G19,LEN(Data1!G19)-FIND("L",Data1!G19)),"Ø","0")," ",""))</f>
        <v>63</v>
      </c>
      <c r="I22" s="7">
        <f>VALUE(SUBSTITUTE(SUBSTITUTE(RIGHT(Data1!H19,LEN(Data1!H19)-FIND("L",Data1!H19)),"Ø","0")," ",""))</f>
        <v>70</v>
      </c>
      <c r="J22" s="7">
        <f>VALUE(SUBSTITUTE(SUBSTITUTE(RIGHT(Data1!I19,LEN(Data1!I19)-FIND("L",Data1!I19)),"Ø","0")," ",""))</f>
        <v>73</v>
      </c>
      <c r="K22" s="7">
        <f>VALUE(SUBSTITUTE(SUBSTITUTE(RIGHT(Data1!J19,LEN(Data1!J19)-FIND("L",Data1!J19)),"Ø","0")," ",""))</f>
        <v>73</v>
      </c>
      <c r="L22" s="7">
        <f>VALUE(SUBSTITUTE(SUBSTITUTE(RIGHT(Data1!K19,LEN(Data1!K19)-FIND("L",Data1!K19)),"Ø","0")," ",""))</f>
        <v>70</v>
      </c>
      <c r="M22" s="7">
        <f>VALUE(SUBSTITUTE(SUBSTITUTE(RIGHT(Data1!L19,LEN(Data1!L19)-FIND("L",Data1!L19)),"Ø","0")," ",""))</f>
        <v>61</v>
      </c>
      <c r="N22" s="7">
        <f>VALUE(SUBSTITUTE(SUBSTITUTE(RIGHT(Data1!M19,LEN(Data1!M19)-FIND("L",Data1!M19)),"Ø","0")," ",""))</f>
        <v>51</v>
      </c>
      <c r="O22" s="7">
        <f>VALUE(SUBSTITUTE(SUBSTITUTE(RIGHT(Data1!N19,LEN(Data1!N19)-FIND("L",Data1!N19)),"Ø","0")," ",""))</f>
        <v>44</v>
      </c>
    </row>
    <row r="23" spans="2:15">
      <c r="B23" s="9" t="str">
        <v>Kansas City</v>
      </c>
      <c r="C23" s="3"/>
      <c r="D23" s="7">
        <f>VALUE(SUBSTITUTE(SUBSTITUTE(RIGHT(Data1!C20,LEN(Data1!C20)-FIND("L",Data1!C20)),"Ø","0")," ",""))</f>
        <v>22</v>
      </c>
      <c r="E23" s="7">
        <f>VALUE(SUBSTITUTE(SUBSTITUTE(RIGHT(Data1!D20,LEN(Data1!D20)-FIND("L",Data1!D20)),"Ø","0")," ",""))</f>
        <v>26</v>
      </c>
      <c r="F23" s="7">
        <f>VALUE(SUBSTITUTE(SUBSTITUTE(RIGHT(Data1!E20,LEN(Data1!E20)-FIND("L",Data1!E20)),"Ø","0")," ",""))</f>
        <v>36</v>
      </c>
      <c r="G23" s="7">
        <f>VALUE(SUBSTITUTE(SUBSTITUTE(RIGHT(Data1!F20,LEN(Data1!F20)-FIND("L",Data1!F20)),"Ø","0")," ",""))</f>
        <v>47</v>
      </c>
      <c r="H23" s="7">
        <f>VALUE(SUBSTITUTE(SUBSTITUTE(RIGHT(Data1!G20,LEN(Data1!G20)-FIND("L",Data1!G20)),"Ø","0")," ",""))</f>
        <v>57</v>
      </c>
      <c r="I23" s="7">
        <f>VALUE(SUBSTITUTE(SUBSTITUTE(RIGHT(Data1!H20,LEN(Data1!H20)-FIND("L",Data1!H20)),"Ø","0")," ",""))</f>
        <v>67</v>
      </c>
      <c r="J23" s="7">
        <f>VALUE(SUBSTITUTE(SUBSTITUTE(RIGHT(Data1!I20,LEN(Data1!I20)-FIND("L",Data1!I20)),"Ø","0")," ",""))</f>
        <v>72</v>
      </c>
      <c r="K23" s="7">
        <f>VALUE(SUBSTITUTE(SUBSTITUTE(RIGHT(Data1!J20,LEN(Data1!J20)-FIND("L",Data1!J20)),"Ø","0")," ",""))</f>
        <v>70</v>
      </c>
      <c r="L23" s="7">
        <f>VALUE(SUBSTITUTE(SUBSTITUTE(RIGHT(Data1!K20,LEN(Data1!K20)-FIND("L",Data1!K20)),"Ø","0")," ",""))</f>
        <v>61</v>
      </c>
      <c r="M23" s="7">
        <f>VALUE(SUBSTITUTE(SUBSTITUTE(RIGHT(Data1!L20,LEN(Data1!L20)-FIND("L",Data1!L20)),"Ø","0")," ",""))</f>
        <v>49</v>
      </c>
      <c r="N23" s="7">
        <f>VALUE(SUBSTITUTE(SUBSTITUTE(RIGHT(Data1!M20,LEN(Data1!M20)-FIND("L",Data1!M20)),"Ø","0")," ",""))</f>
        <v>37</v>
      </c>
      <c r="O23" s="7">
        <f>VALUE(SUBSTITUTE(SUBSTITUTE(RIGHT(Data1!N20,LEN(Data1!N20)-FIND("L",Data1!N20)),"Ø","0")," ",""))</f>
        <v>26</v>
      </c>
    </row>
    <row r="24" spans="2:15">
      <c r="B24" s="9" t="str">
        <v>Las Vegas</v>
      </c>
      <c r="C24" s="3"/>
      <c r="D24" s="7">
        <f>VALUE(SUBSTITUTE(SUBSTITUTE(RIGHT(Data1!C21,LEN(Data1!C21)-FIND("L",Data1!C21)),"Ø","0")," ",""))</f>
        <v>39</v>
      </c>
      <c r="E24" s="7">
        <f>VALUE(SUBSTITUTE(SUBSTITUTE(RIGHT(Data1!D21,LEN(Data1!D21)-FIND("L",Data1!D21)),"Ø","0")," ",""))</f>
        <v>43</v>
      </c>
      <c r="F24" s="7">
        <f>VALUE(SUBSTITUTE(SUBSTITUTE(RIGHT(Data1!E21,LEN(Data1!E21)-FIND("L",Data1!E21)),"Ø","0")," ",""))</f>
        <v>49</v>
      </c>
      <c r="G24" s="7">
        <f>VALUE(SUBSTITUTE(SUBSTITUTE(RIGHT(Data1!F21,LEN(Data1!F21)-FIND("L",Data1!F21)),"Ø","0")," ",""))</f>
        <v>56</v>
      </c>
      <c r="H24" s="7">
        <f>VALUE(SUBSTITUTE(SUBSTITUTE(RIGHT(Data1!G21,LEN(Data1!G21)-FIND("L",Data1!G21)),"Ø","0")," ",""))</f>
        <v>66</v>
      </c>
      <c r="I24" s="7">
        <f>VALUE(SUBSTITUTE(SUBSTITUTE(RIGHT(Data1!H21,LEN(Data1!H21)-FIND("L",Data1!H21)),"Ø","0")," ",""))</f>
        <v>75</v>
      </c>
      <c r="J24" s="7">
        <f>VALUE(SUBSTITUTE(SUBSTITUTE(RIGHT(Data1!I21,LEN(Data1!I21)-FIND("L",Data1!I21)),"Ø","0")," ",""))</f>
        <v>81</v>
      </c>
      <c r="K24" s="7">
        <f>VALUE(SUBSTITUTE(SUBSTITUTE(RIGHT(Data1!J21,LEN(Data1!J21)-FIND("L",Data1!J21)),"Ø","0")," ",""))</f>
        <v>79</v>
      </c>
      <c r="L24" s="7">
        <f>VALUE(SUBSTITUTE(SUBSTITUTE(RIGHT(Data1!K21,LEN(Data1!K21)-FIND("L",Data1!K21)),"Ø","0")," ",""))</f>
        <v>71</v>
      </c>
      <c r="M24" s="7">
        <f>VALUE(SUBSTITUTE(SUBSTITUTE(RIGHT(Data1!L21,LEN(Data1!L21)-FIND("L",Data1!L21)),"Ø","0")," ",""))</f>
        <v>59</v>
      </c>
      <c r="N24" s="7">
        <f>VALUE(SUBSTITUTE(SUBSTITUTE(RIGHT(Data1!M21,LEN(Data1!M21)-FIND("L",Data1!M21)),"Ø","0")," ",""))</f>
        <v>47</v>
      </c>
      <c r="O24" s="7">
        <f>VALUE(SUBSTITUTE(SUBSTITUTE(RIGHT(Data1!N21,LEN(Data1!N21)-FIND("L",Data1!N21)),"Ø","0")," ",""))</f>
        <v>39</v>
      </c>
    </row>
    <row r="25" spans="2:15">
      <c r="B25" s="9" t="str">
        <v>Los Angeles</v>
      </c>
      <c r="C25" s="3"/>
      <c r="D25" s="7">
        <f>VALUE(SUBSTITUTE(SUBSTITUTE(RIGHT(Data1!C22,LEN(Data1!C22)-FIND("L",Data1!C22)),"Ø","0")," ",""))</f>
        <v>48</v>
      </c>
      <c r="E25" s="7">
        <f>VALUE(SUBSTITUTE(SUBSTITUTE(RIGHT(Data1!D22,LEN(Data1!D22)-FIND("L",Data1!D22)),"Ø","0")," ",""))</f>
        <v>49</v>
      </c>
      <c r="F25" s="7">
        <f>VALUE(SUBSTITUTE(SUBSTITUTE(RIGHT(Data1!E22,LEN(Data1!E22)-FIND("L",Data1!E22)),"Ø","0")," ",""))</f>
        <v>51</v>
      </c>
      <c r="G25" s="7">
        <f>VALUE(SUBSTITUTE(SUBSTITUTE(RIGHT(Data1!F22,LEN(Data1!F22)-FIND("L",Data1!F22)),"Ø","0")," ",""))</f>
        <v>54</v>
      </c>
      <c r="H25" s="7">
        <f>VALUE(SUBSTITUTE(SUBSTITUTE(RIGHT(Data1!G22,LEN(Data1!G22)-FIND("L",Data1!G22)),"Ø","0")," ",""))</f>
        <v>57</v>
      </c>
      <c r="I25" s="7">
        <f>VALUE(SUBSTITUTE(SUBSTITUTE(RIGHT(Data1!H22,LEN(Data1!H22)-FIND("L",Data1!H22)),"Ø","0")," ",""))</f>
        <v>60</v>
      </c>
      <c r="J25" s="7">
        <f>VALUE(SUBSTITUTE(SUBSTITUTE(RIGHT(Data1!I22,LEN(Data1!I22)-FIND("L",Data1!I22)),"Ø","0")," ",""))</f>
        <v>64</v>
      </c>
      <c r="K25" s="7">
        <f>VALUE(SUBSTITUTE(SUBSTITUTE(RIGHT(Data1!J22,LEN(Data1!J22)-FIND("L",Data1!J22)),"Ø","0")," ",""))</f>
        <v>64</v>
      </c>
      <c r="L25" s="7">
        <f>VALUE(SUBSTITUTE(SUBSTITUTE(RIGHT(Data1!K22,LEN(Data1!K22)-FIND("L",Data1!K22)),"Ø","0")," ",""))</f>
        <v>63</v>
      </c>
      <c r="M25" s="7">
        <f>VALUE(SUBSTITUTE(SUBSTITUTE(RIGHT(Data1!L22,LEN(Data1!L22)-FIND("L",Data1!L22)),"Ø","0")," ",""))</f>
        <v>59</v>
      </c>
      <c r="N25" s="7">
        <f>VALUE(SUBSTITUTE(SUBSTITUTE(RIGHT(Data1!M22,LEN(Data1!M22)-FIND("L",Data1!M22)),"Ø","0")," ",""))</f>
        <v>52</v>
      </c>
      <c r="O25" s="7">
        <f>VALUE(SUBSTITUTE(SUBSTITUTE(RIGHT(Data1!N22,LEN(Data1!N22)-FIND("L",Data1!N22)),"Ø","0")," ",""))</f>
        <v>48</v>
      </c>
    </row>
    <row r="26" spans="2:15">
      <c r="B26" s="9" t="str">
        <v>Louisville</v>
      </c>
      <c r="C26" s="3"/>
      <c r="D26" s="7">
        <f>VALUE(SUBSTITUTE(SUBSTITUTE(RIGHT(Data1!C23,LEN(Data1!C23)-FIND("L",Data1!C23)),"Ø","0")," ",""))</f>
        <v>27</v>
      </c>
      <c r="E26" s="7">
        <f>VALUE(SUBSTITUTE(SUBSTITUTE(RIGHT(Data1!D23,LEN(Data1!D23)-FIND("L",Data1!D23)),"Ø","0")," ",""))</f>
        <v>30</v>
      </c>
      <c r="F26" s="7">
        <f>VALUE(SUBSTITUTE(SUBSTITUTE(RIGHT(Data1!E23,LEN(Data1!E23)-FIND("L",Data1!E23)),"Ø","0")," ",""))</f>
        <v>38</v>
      </c>
      <c r="G26" s="7">
        <f>VALUE(SUBSTITUTE(SUBSTITUTE(RIGHT(Data1!F23,LEN(Data1!F23)-FIND("L",Data1!F23)),"Ø","0")," ",""))</f>
        <v>47</v>
      </c>
      <c r="H26" s="7">
        <f>VALUE(SUBSTITUTE(SUBSTITUTE(RIGHT(Data1!G23,LEN(Data1!G23)-FIND("L",Data1!G23)),"Ø","0")," ",""))</f>
        <v>57</v>
      </c>
      <c r="I26" s="7">
        <f>VALUE(SUBSTITUTE(SUBSTITUTE(RIGHT(Data1!H23,LEN(Data1!H23)-FIND("L",Data1!H23)),"Ø","0")," ",""))</f>
        <v>66</v>
      </c>
      <c r="J26" s="7">
        <f>VALUE(SUBSTITUTE(SUBSTITUTE(RIGHT(Data1!I23,LEN(Data1!I23)-FIND("L",Data1!I23)),"Ø","0")," ",""))</f>
        <v>70</v>
      </c>
      <c r="K26" s="7">
        <f>VALUE(SUBSTITUTE(SUBSTITUTE(RIGHT(Data1!J23,LEN(Data1!J23)-FIND("L",Data1!J23)),"Ø","0")," ",""))</f>
        <v>69</v>
      </c>
      <c r="L26" s="7">
        <f>VALUE(SUBSTITUTE(SUBSTITUTE(RIGHT(Data1!K23,LEN(Data1!K23)-FIND("L",Data1!K23)),"Ø","0")," ",""))</f>
        <v>61</v>
      </c>
      <c r="M26" s="7">
        <f>VALUE(SUBSTITUTE(SUBSTITUTE(RIGHT(Data1!L23,LEN(Data1!L23)-FIND("L",Data1!L23)),"Ø","0")," ",""))</f>
        <v>49</v>
      </c>
      <c r="N26" s="7">
        <f>VALUE(SUBSTITUTE(SUBSTITUTE(RIGHT(Data1!M23,LEN(Data1!M23)-FIND("L",Data1!M23)),"Ø","0")," ",""))</f>
        <v>40</v>
      </c>
      <c r="O26" s="7">
        <f>VALUE(SUBSTITUTE(SUBSTITUTE(RIGHT(Data1!N23,LEN(Data1!N23)-FIND("L",Data1!N23)),"Ø","0")," ",""))</f>
        <v>30</v>
      </c>
    </row>
    <row r="27" spans="2:15">
      <c r="B27" s="9" t="str">
        <v>Memphis</v>
      </c>
      <c r="C27" s="3"/>
      <c r="D27" s="7">
        <f>VALUE(SUBSTITUTE(SUBSTITUTE(RIGHT(Data1!C24,LEN(Data1!C24)-FIND("L",Data1!C24)),"Ø","0")," ",""))</f>
        <v>33</v>
      </c>
      <c r="E27" s="7">
        <f>VALUE(SUBSTITUTE(SUBSTITUTE(RIGHT(Data1!D24,LEN(Data1!D24)-FIND("L",Data1!D24)),"Ø","0")," ",""))</f>
        <v>36</v>
      </c>
      <c r="F27" s="7">
        <f>VALUE(SUBSTITUTE(SUBSTITUTE(RIGHT(Data1!E24,LEN(Data1!E24)-FIND("L",Data1!E24)),"Ø","0")," ",""))</f>
        <v>44</v>
      </c>
      <c r="G27" s="7">
        <f>VALUE(SUBSTITUTE(SUBSTITUTE(RIGHT(Data1!F24,LEN(Data1!F24)-FIND("L",Data1!F24)),"Ø","0")," ",""))</f>
        <v>53</v>
      </c>
      <c r="H27" s="7">
        <f>VALUE(SUBSTITUTE(SUBSTITUTE(RIGHT(Data1!G24,LEN(Data1!G24)-FIND("L",Data1!G24)),"Ø","0")," ",""))</f>
        <v>62</v>
      </c>
      <c r="I27" s="7">
        <f>VALUE(SUBSTITUTE(SUBSTITUTE(RIGHT(Data1!H24,LEN(Data1!H24)-FIND("L",Data1!H24)),"Ø","0")," ",""))</f>
        <v>70</v>
      </c>
      <c r="J27" s="7">
        <f>VALUE(SUBSTITUTE(SUBSTITUTE(RIGHT(Data1!I24,LEN(Data1!I24)-FIND("L",Data1!I24)),"Ø","0")," ",""))</f>
        <v>74</v>
      </c>
      <c r="K27" s="7">
        <f>VALUE(SUBSTITUTE(SUBSTITUTE(RIGHT(Data1!J24,LEN(Data1!J24)-FIND("L",Data1!J24)),"Ø","0")," ",""))</f>
        <v>73</v>
      </c>
      <c r="L27" s="7">
        <f>VALUE(SUBSTITUTE(SUBSTITUTE(RIGHT(Data1!K24,LEN(Data1!K24)-FIND("L",Data1!K24)),"Ø","0")," ",""))</f>
        <v>65</v>
      </c>
      <c r="M27" s="7">
        <f>VALUE(SUBSTITUTE(SUBSTITUTE(RIGHT(Data1!L24,LEN(Data1!L24)-FIND("L",Data1!L24)),"Ø","0")," ",""))</f>
        <v>54</v>
      </c>
      <c r="N27" s="7">
        <f>VALUE(SUBSTITUTE(SUBSTITUTE(RIGHT(Data1!M24,LEN(Data1!M24)-FIND("L",Data1!M24)),"Ø","0")," ",""))</f>
        <v>44</v>
      </c>
      <c r="O27" s="7">
        <f>VALUE(SUBSTITUTE(SUBSTITUTE(RIGHT(Data1!N24,LEN(Data1!N24)-FIND("L",Data1!N24)),"Ø","0")," ",""))</f>
        <v>35</v>
      </c>
    </row>
    <row r="28" spans="2:15">
      <c r="B28" s="9" t="str">
        <v>Miami</v>
      </c>
      <c r="C28" s="3"/>
      <c r="D28" s="7">
        <f>VALUE(SUBSTITUTE(SUBSTITUTE(RIGHT(Data1!C25,LEN(Data1!C25)-FIND("L",Data1!C25)),"Ø","0")," ",""))</f>
        <v>60</v>
      </c>
      <c r="E28" s="7">
        <f>VALUE(SUBSTITUTE(SUBSTITUTE(RIGHT(Data1!D25,LEN(Data1!D25)-FIND("L",Data1!D25)),"Ø","0")," ",""))</f>
        <v>62</v>
      </c>
      <c r="F28" s="7">
        <f>VALUE(SUBSTITUTE(SUBSTITUTE(RIGHT(Data1!E25,LEN(Data1!E25)-FIND("L",Data1!E25)),"Ø","0")," ",""))</f>
        <v>65</v>
      </c>
      <c r="G28" s="7">
        <f>VALUE(SUBSTITUTE(SUBSTITUTE(RIGHT(Data1!F25,LEN(Data1!F25)-FIND("L",Data1!F25)),"Ø","0")," ",""))</f>
        <v>68</v>
      </c>
      <c r="H28" s="7">
        <f>VALUE(SUBSTITUTE(SUBSTITUTE(RIGHT(Data1!G25,LEN(Data1!G25)-FIND("L",Data1!G25)),"Ø","0")," ",""))</f>
        <v>73</v>
      </c>
      <c r="I28" s="7">
        <f>VALUE(SUBSTITUTE(SUBSTITUTE(RIGHT(Data1!H25,LEN(Data1!H25)-FIND("L",Data1!H25)),"Ø","0")," ",""))</f>
        <v>76</v>
      </c>
      <c r="J28" s="7">
        <f>VALUE(SUBSTITUTE(SUBSTITUTE(RIGHT(Data1!I25,LEN(Data1!I25)-FIND("L",Data1!I25)),"Ø","0")," ",""))</f>
        <v>77</v>
      </c>
      <c r="K28" s="7">
        <f>VALUE(SUBSTITUTE(SUBSTITUTE(RIGHT(Data1!J25,LEN(Data1!J25)-FIND("L",Data1!J25)),"Ø","0")," ",""))</f>
        <v>77</v>
      </c>
      <c r="L28" s="7">
        <f>VALUE(SUBSTITUTE(SUBSTITUTE(RIGHT(Data1!K25,LEN(Data1!K25)-FIND("L",Data1!K25)),"Ø","0")," ",""))</f>
        <v>77</v>
      </c>
      <c r="M28" s="7">
        <f>VALUE(SUBSTITUTE(SUBSTITUTE(RIGHT(Data1!L25,LEN(Data1!L25)-FIND("L",Data1!L25)),"Ø","0")," ",""))</f>
        <v>74</v>
      </c>
      <c r="N28" s="7">
        <f>VALUE(SUBSTITUTE(SUBSTITUTE(RIGHT(Data1!M25,LEN(Data1!M25)-FIND("L",Data1!M25)),"Ø","0")," ",""))</f>
        <v>68</v>
      </c>
      <c r="O28" s="7">
        <f>VALUE(SUBSTITUTE(SUBSTITUTE(RIGHT(Data1!N25,LEN(Data1!N25)-FIND("L",Data1!N25)),"Ø","0")," ",""))</f>
        <v>63</v>
      </c>
    </row>
    <row r="29" spans="2:15">
      <c r="B29" s="9" t="str">
        <v>Milwaukee</v>
      </c>
      <c r="C29" s="3"/>
      <c r="D29" s="7">
        <f>VALUE(SUBSTITUTE(SUBSTITUTE(RIGHT(Data1!C26,LEN(Data1!C26)-FIND("L",Data1!C26)),"Ø","0")," ",""))</f>
        <v>16</v>
      </c>
      <c r="E29" s="7">
        <f>VALUE(SUBSTITUTE(SUBSTITUTE(RIGHT(Data1!D26,LEN(Data1!D26)-FIND("L",Data1!D26)),"Ø","0")," ",""))</f>
        <v>19</v>
      </c>
      <c r="F29" s="7">
        <f>VALUE(SUBSTITUTE(SUBSTITUTE(RIGHT(Data1!E26,LEN(Data1!E26)-FIND("L",Data1!E26)),"Ø","0")," ",""))</f>
        <v>28</v>
      </c>
      <c r="G29" s="7">
        <f>VALUE(SUBSTITUTE(SUBSTITUTE(RIGHT(Data1!F26,LEN(Data1!F26)-FIND("L",Data1!F26)),"Ø","0")," ",""))</f>
        <v>37</v>
      </c>
      <c r="H29" s="7">
        <f>VALUE(SUBSTITUTE(SUBSTITUTE(RIGHT(Data1!G26,LEN(Data1!G26)-FIND("L",Data1!G26)),"Ø","0")," ",""))</f>
        <v>47</v>
      </c>
      <c r="I29" s="7">
        <f>VALUE(SUBSTITUTE(SUBSTITUTE(RIGHT(Data1!H26,LEN(Data1!H26)-FIND("L",Data1!H26)),"Ø","0")," ",""))</f>
        <v>57</v>
      </c>
      <c r="J29" s="7">
        <f>VALUE(SUBSTITUTE(SUBSTITUTE(RIGHT(Data1!I26,LEN(Data1!I26)-FIND("L",Data1!I26)),"Ø","0")," ",""))</f>
        <v>64</v>
      </c>
      <c r="K29" s="7">
        <f>VALUE(SUBSTITUTE(SUBSTITUTE(RIGHT(Data1!J26,LEN(Data1!J26)-FIND("L",Data1!J26)),"Ø","0")," ",""))</f>
        <v>63</v>
      </c>
      <c r="L29" s="7">
        <f>VALUE(SUBSTITUTE(SUBSTITUTE(RIGHT(Data1!K26,LEN(Data1!K26)-FIND("L",Data1!K26)),"Ø","0")," ",""))</f>
        <v>55</v>
      </c>
      <c r="M29" s="7">
        <f>VALUE(SUBSTITUTE(SUBSTITUTE(RIGHT(Data1!L26,LEN(Data1!L26)-FIND("L",Data1!L26)),"Ø","0")," ",""))</f>
        <v>43</v>
      </c>
      <c r="N29" s="7">
        <f>VALUE(SUBSTITUTE(SUBSTITUTE(RIGHT(Data1!M26,LEN(Data1!M26)-FIND("L",Data1!M26)),"Ø","0")," ",""))</f>
        <v>32</v>
      </c>
      <c r="O29" s="7">
        <f>VALUE(SUBSTITUTE(SUBSTITUTE(RIGHT(Data1!N26,LEN(Data1!N26)-FIND("L",Data1!N26)),"Ø","0")," ",""))</f>
        <v>20</v>
      </c>
    </row>
    <row r="30" spans="2:15">
      <c r="B30" s="9" t="str">
        <v>Minneapolis</v>
      </c>
      <c r="C30" s="3"/>
      <c r="D30" s="7">
        <f>VALUE(SUBSTITUTE(SUBSTITUTE(RIGHT(Data1!C27,LEN(Data1!C27)-FIND("L",Data1!C27)),"Ø","0")," ",""))</f>
        <v>8</v>
      </c>
      <c r="E30" s="7">
        <f>VALUE(SUBSTITUTE(SUBSTITUTE(RIGHT(Data1!D27,LEN(Data1!D27)-FIND("L",Data1!D27)),"Ø","0")," ",""))</f>
        <v>13</v>
      </c>
      <c r="F30" s="7">
        <f>VALUE(SUBSTITUTE(SUBSTITUTE(RIGHT(Data1!E27,LEN(Data1!E27)-FIND("L",Data1!E27)),"Ø","0")," ",""))</f>
        <v>24</v>
      </c>
      <c r="G30" s="7">
        <f>VALUE(SUBSTITUTE(SUBSTITUTE(RIGHT(Data1!F27,LEN(Data1!F27)-FIND("L",Data1!F27)),"Ø","0")," ",""))</f>
        <v>37</v>
      </c>
      <c r="H30" s="7">
        <f>VALUE(SUBSTITUTE(SUBSTITUTE(RIGHT(Data1!G27,LEN(Data1!G27)-FIND("L",Data1!G27)),"Ø","0")," ",""))</f>
        <v>49</v>
      </c>
      <c r="I30" s="7">
        <f>VALUE(SUBSTITUTE(SUBSTITUTE(RIGHT(Data1!H27,LEN(Data1!H27)-FIND("L",Data1!H27)),"Ø","0")," ",""))</f>
        <v>59</v>
      </c>
      <c r="J30" s="7">
        <f>VALUE(SUBSTITUTE(SUBSTITUTE(RIGHT(Data1!I27,LEN(Data1!I27)-FIND("L",Data1!I27)),"Ø","0")," ",""))</f>
        <v>64</v>
      </c>
      <c r="K30" s="7">
        <f>VALUE(SUBSTITUTE(SUBSTITUTE(RIGHT(Data1!J27,LEN(Data1!J27)-FIND("L",Data1!J27)),"Ø","0")," ",""))</f>
        <v>62</v>
      </c>
      <c r="L30" s="7">
        <f>VALUE(SUBSTITUTE(SUBSTITUTE(RIGHT(Data1!K27,LEN(Data1!K27)-FIND("L",Data1!K27)),"Ø","0")," ",""))</f>
        <v>52</v>
      </c>
      <c r="M30" s="7">
        <f>VALUE(SUBSTITUTE(SUBSTITUTE(RIGHT(Data1!L27,LEN(Data1!L27)-FIND("L",Data1!L27)),"Ø","0")," ",""))</f>
        <v>40</v>
      </c>
      <c r="N30" s="7">
        <f>VALUE(SUBSTITUTE(SUBSTITUTE(RIGHT(Data1!M27,LEN(Data1!M27)-FIND("L",Data1!M27)),"Ø","0")," ",""))</f>
        <v>26</v>
      </c>
      <c r="O30" s="7">
        <f>VALUE(SUBSTITUTE(SUBSTITUTE(RIGHT(Data1!N27,LEN(Data1!N27)-FIND("L",Data1!N27)),"Ø","0")," ",""))</f>
        <v>12</v>
      </c>
    </row>
    <row r="31" spans="2:15">
      <c r="B31" s="9" t="str">
        <v>Nashville</v>
      </c>
      <c r="C31" s="3"/>
      <c r="D31" s="7">
        <f>VALUE(SUBSTITUTE(SUBSTITUTE(RIGHT(Data1!C28,LEN(Data1!C28)-FIND("L",Data1!C28)),"Ø","0")," ",""))</f>
        <v>28</v>
      </c>
      <c r="E31" s="7">
        <f>VALUE(SUBSTITUTE(SUBSTITUTE(RIGHT(Data1!D28,LEN(Data1!D28)-FIND("L",Data1!D28)),"Ø","0")," ",""))</f>
        <v>32</v>
      </c>
      <c r="F31" s="7">
        <f>VALUE(SUBSTITUTE(SUBSTITUTE(RIGHT(Data1!E28,LEN(Data1!E28)-FIND("L",Data1!E28)),"Ø","0")," ",""))</f>
        <v>39</v>
      </c>
      <c r="G31" s="7">
        <f>VALUE(SUBSTITUTE(SUBSTITUTE(RIGHT(Data1!F28,LEN(Data1!F28)-FIND("L",Data1!F28)),"Ø","0")," ",""))</f>
        <v>48</v>
      </c>
      <c r="H31" s="7">
        <f>VALUE(SUBSTITUTE(SUBSTITUTE(RIGHT(Data1!G28,LEN(Data1!G28)-FIND("L",Data1!G28)),"Ø","0")," ",""))</f>
        <v>57</v>
      </c>
      <c r="I31" s="7">
        <f>VALUE(SUBSTITUTE(SUBSTITUTE(RIGHT(Data1!H28,LEN(Data1!H28)-FIND("L",Data1!H28)),"Ø","0")," ",""))</f>
        <v>65</v>
      </c>
      <c r="J31" s="7">
        <f>VALUE(SUBSTITUTE(SUBSTITUTE(RIGHT(Data1!I28,LEN(Data1!I28)-FIND("L",Data1!I28)),"Ø","0")," ",""))</f>
        <v>70</v>
      </c>
      <c r="K31" s="7">
        <f>VALUE(SUBSTITUTE(SUBSTITUTE(RIGHT(Data1!J28,LEN(Data1!J28)-FIND("L",Data1!J28)),"Ø","0")," ",""))</f>
        <v>68</v>
      </c>
      <c r="L31" s="7">
        <f>VALUE(SUBSTITUTE(SUBSTITUTE(RIGHT(Data1!K28,LEN(Data1!K28)-FIND("L",Data1!K28)),"Ø","0")," ",""))</f>
        <v>61</v>
      </c>
      <c r="M31" s="7">
        <f>VALUE(SUBSTITUTE(SUBSTITUTE(RIGHT(Data1!L28,LEN(Data1!L28)-FIND("L",Data1!L28)),"Ø","0")," ",""))</f>
        <v>49</v>
      </c>
      <c r="N31" s="7">
        <f>VALUE(SUBSTITUTE(SUBSTITUTE(RIGHT(Data1!M28,LEN(Data1!M28)-FIND("L",Data1!M28)),"Ø","0")," ",""))</f>
        <v>39</v>
      </c>
      <c r="O31" s="7">
        <f>VALUE(SUBSTITUTE(SUBSTITUTE(RIGHT(Data1!N28,LEN(Data1!N28)-FIND("L",Data1!N28)),"Ø","0")," ",""))</f>
        <v>31</v>
      </c>
    </row>
    <row r="32" spans="2:15">
      <c r="B32" s="9" t="str">
        <v>New Orleans</v>
      </c>
      <c r="C32" s="3"/>
      <c r="D32" s="7">
        <f>VALUE(SUBSTITUTE(SUBSTITUTE(RIGHT(Data1!C29,LEN(Data1!C29)-FIND("L",Data1!C29)),"Ø","0")," ",""))</f>
        <v>45</v>
      </c>
      <c r="E32" s="7">
        <f>VALUE(SUBSTITUTE(SUBSTITUTE(RIGHT(Data1!D29,LEN(Data1!D29)-FIND("L",Data1!D29)),"Ø","0")," ",""))</f>
        <v>48</v>
      </c>
      <c r="F32" s="7">
        <f>VALUE(SUBSTITUTE(SUBSTITUTE(RIGHT(Data1!E29,LEN(Data1!E29)-FIND("L",Data1!E29)),"Ø","0")," ",""))</f>
        <v>54</v>
      </c>
      <c r="G32" s="7">
        <f>VALUE(SUBSTITUTE(SUBSTITUTE(RIGHT(Data1!F29,LEN(Data1!F29)-FIND("L",Data1!F29)),"Ø","0")," ",""))</f>
        <v>60</v>
      </c>
      <c r="H32" s="7">
        <f>VALUE(SUBSTITUTE(SUBSTITUTE(RIGHT(Data1!G29,LEN(Data1!G29)-FIND("L",Data1!G29)),"Ø","0")," ",""))</f>
        <v>68</v>
      </c>
      <c r="I32" s="7">
        <f>VALUE(SUBSTITUTE(SUBSTITUTE(RIGHT(Data1!H29,LEN(Data1!H29)-FIND("L",Data1!H29)),"Ø","0")," ",""))</f>
        <v>74</v>
      </c>
      <c r="J32" s="7">
        <f>VALUE(SUBSTITUTE(SUBSTITUTE(RIGHT(Data1!I29,LEN(Data1!I29)-FIND("L",Data1!I29)),"Ø","0")," ",""))</f>
        <v>75</v>
      </c>
      <c r="K32" s="7">
        <f>VALUE(SUBSTITUTE(SUBSTITUTE(RIGHT(Data1!J29,LEN(Data1!J29)-FIND("L",Data1!J29)),"Ø","0")," ",""))</f>
        <v>75</v>
      </c>
      <c r="L32" s="7">
        <f>VALUE(SUBSTITUTE(SUBSTITUTE(RIGHT(Data1!K29,LEN(Data1!K29)-FIND("L",Data1!K29)),"Ø","0")," ",""))</f>
        <v>72</v>
      </c>
      <c r="M32" s="7">
        <f>VALUE(SUBSTITUTE(SUBSTITUTE(RIGHT(Data1!L29,LEN(Data1!L29)-FIND("L",Data1!L29)),"Ø","0")," ",""))</f>
        <v>63</v>
      </c>
      <c r="N32" s="7">
        <f>VALUE(SUBSTITUTE(SUBSTITUTE(RIGHT(Data1!M29,LEN(Data1!M29)-FIND("L",Data1!M29)),"Ø","0")," ",""))</f>
        <v>54</v>
      </c>
      <c r="O32" s="7">
        <f>VALUE(SUBSTITUTE(SUBSTITUTE(RIGHT(Data1!N29,LEN(Data1!N29)-FIND("L",Data1!N29)),"Ø","0")," ",""))</f>
        <v>47</v>
      </c>
    </row>
    <row r="33" spans="2:15">
      <c r="B33" s="9" t="str">
        <v>New York</v>
      </c>
      <c r="C33" s="3"/>
      <c r="D33" s="7">
        <f>VALUE(SUBSTITUTE(SUBSTITUTE(RIGHT(Data1!C30,LEN(Data1!C30)-FIND("L",Data1!C30)),"Ø","0")," ",""))</f>
        <v>27</v>
      </c>
      <c r="E33" s="7">
        <f>VALUE(SUBSTITUTE(SUBSTITUTE(RIGHT(Data1!D30,LEN(Data1!D30)-FIND("L",Data1!D30)),"Ø","0")," ",""))</f>
        <v>29</v>
      </c>
      <c r="F33" s="7">
        <f>VALUE(SUBSTITUTE(SUBSTITUTE(RIGHT(Data1!E30,LEN(Data1!E30)-FIND("L",Data1!E30)),"Ø","0")," ",""))</f>
        <v>35</v>
      </c>
      <c r="G33" s="7">
        <f>VALUE(SUBSTITUTE(SUBSTITUTE(RIGHT(Data1!F30,LEN(Data1!F30)-FIND("L",Data1!F30)),"Ø","0")," ",""))</f>
        <v>45</v>
      </c>
      <c r="H33" s="7">
        <f>VALUE(SUBSTITUTE(SUBSTITUTE(RIGHT(Data1!G30,LEN(Data1!G30)-FIND("L",Data1!G30)),"Ø","0")," ",""))</f>
        <v>54</v>
      </c>
      <c r="I33" s="7">
        <f>VALUE(SUBSTITUTE(SUBSTITUTE(RIGHT(Data1!H30,LEN(Data1!H30)-FIND("L",Data1!H30)),"Ø","0")," ",""))</f>
        <v>64</v>
      </c>
      <c r="J33" s="7">
        <f>VALUE(SUBSTITUTE(SUBSTITUTE(RIGHT(Data1!I30,LEN(Data1!I30)-FIND("L",Data1!I30)),"Ø","0")," ",""))</f>
        <v>69</v>
      </c>
      <c r="K33" s="7">
        <f>VALUE(SUBSTITUTE(SUBSTITUTE(RIGHT(Data1!J30,LEN(Data1!J30)-FIND("L",Data1!J30)),"Ø","0")," ",""))</f>
        <v>68</v>
      </c>
      <c r="L33" s="7">
        <f>VALUE(SUBSTITUTE(SUBSTITUTE(RIGHT(Data1!K30,LEN(Data1!K30)-FIND("L",Data1!K30)),"Ø","0")," ",""))</f>
        <v>61</v>
      </c>
      <c r="M33" s="7">
        <f>VALUE(SUBSTITUTE(SUBSTITUTE(RIGHT(Data1!L30,LEN(Data1!L30)-FIND("L",Data1!L30)),"Ø","0")," ",""))</f>
        <v>50</v>
      </c>
      <c r="N33" s="7">
        <f>VALUE(SUBSTITUTE(SUBSTITUTE(RIGHT(Data1!M30,LEN(Data1!M30)-FIND("L",Data1!M30)),"Ø","0")," ",""))</f>
        <v>42</v>
      </c>
      <c r="O33" s="7">
        <f>VALUE(SUBSTITUTE(SUBSTITUTE(RIGHT(Data1!N30,LEN(Data1!N30)-FIND("L",Data1!N30)),"Ø","0")," ",""))</f>
        <v>32</v>
      </c>
    </row>
    <row r="34" spans="2:15">
      <c r="B34" s="9" t="str">
        <v>Oklahoma City</v>
      </c>
      <c r="C34" s="3"/>
      <c r="D34" s="7">
        <f>VALUE(SUBSTITUTE(SUBSTITUTE(RIGHT(Data1!C31,LEN(Data1!C31)-FIND("L",Data1!C31)),"Ø","0")," ",""))</f>
        <v>29</v>
      </c>
      <c r="E34" s="7">
        <f>VALUE(SUBSTITUTE(SUBSTITUTE(RIGHT(Data1!D31,LEN(Data1!D31)-FIND("L",Data1!D31)),"Ø","0")," ",""))</f>
        <v>33</v>
      </c>
      <c r="F34" s="7">
        <f>VALUE(SUBSTITUTE(SUBSTITUTE(RIGHT(Data1!E31,LEN(Data1!E31)-FIND("L",Data1!E31)),"Ø","0")," ",""))</f>
        <v>41</v>
      </c>
      <c r="G34" s="7">
        <f>VALUE(SUBSTITUTE(SUBSTITUTE(RIGHT(Data1!F31,LEN(Data1!F31)-FIND("L",Data1!F31)),"Ø","0")," ",""))</f>
        <v>50</v>
      </c>
      <c r="H34" s="7">
        <f>VALUE(SUBSTITUTE(SUBSTITUTE(RIGHT(Data1!G31,LEN(Data1!G31)-FIND("L",Data1!G31)),"Ø","0")," ",""))</f>
        <v>60</v>
      </c>
      <c r="I34" s="7">
        <f>VALUE(SUBSTITUTE(SUBSTITUTE(RIGHT(Data1!H31,LEN(Data1!H31)-FIND("L",Data1!H31)),"Ø","0")," ",""))</f>
        <v>68</v>
      </c>
      <c r="J34" s="7">
        <f>VALUE(SUBSTITUTE(SUBSTITUTE(RIGHT(Data1!I31,LEN(Data1!I31)-FIND("L",Data1!I31)),"Ø","0")," ",""))</f>
        <v>72</v>
      </c>
      <c r="K34" s="7">
        <f>VALUE(SUBSTITUTE(SUBSTITUTE(RIGHT(Data1!J31,LEN(Data1!J31)-FIND("L",Data1!J31)),"Ø","0")," ",""))</f>
        <v>71</v>
      </c>
      <c r="L34" s="7">
        <f>VALUE(SUBSTITUTE(SUBSTITUTE(RIGHT(Data1!K31,LEN(Data1!K31)-FIND("L",Data1!K31)),"Ø","0")," ",""))</f>
        <v>63</v>
      </c>
      <c r="M34" s="7">
        <f>VALUE(SUBSTITUTE(SUBSTITUTE(RIGHT(Data1!L31,LEN(Data1!L31)-FIND("L",Data1!L31)),"Ø","0")," ",""))</f>
        <v>52</v>
      </c>
      <c r="N34" s="7">
        <f>VALUE(SUBSTITUTE(SUBSTITUTE(RIGHT(Data1!M31,LEN(Data1!M31)-FIND("L",Data1!M31)),"Ø","0")," ",""))</f>
        <v>40</v>
      </c>
      <c r="O34" s="7">
        <f>VALUE(SUBSTITUTE(SUBSTITUTE(RIGHT(Data1!N31,LEN(Data1!N31)-FIND("L",Data1!N31)),"Ø","0")," ",""))</f>
        <v>31</v>
      </c>
    </row>
    <row r="35" spans="2:15">
      <c r="B35" s="9" t="str">
        <v>Orlando</v>
      </c>
      <c r="C35" s="3"/>
      <c r="D35" s="7">
        <f>VALUE(SUBSTITUTE(SUBSTITUTE(RIGHT(Data1!C32,LEN(Data1!C32)-FIND("L",Data1!C32)),"Ø","0")," ",""))</f>
        <v>49</v>
      </c>
      <c r="E35" s="7">
        <f>VALUE(SUBSTITUTE(SUBSTITUTE(RIGHT(Data1!D32,LEN(Data1!D32)-FIND("L",Data1!D32)),"Ø","0")," ",""))</f>
        <v>52</v>
      </c>
      <c r="F35" s="7">
        <f>VALUE(SUBSTITUTE(SUBSTITUTE(RIGHT(Data1!E32,LEN(Data1!E32)-FIND("L",Data1!E32)),"Ø","0")," ",""))</f>
        <v>56</v>
      </c>
      <c r="G35" s="7">
        <f>VALUE(SUBSTITUTE(SUBSTITUTE(RIGHT(Data1!F32,LEN(Data1!F32)-FIND("L",Data1!F32)),"Ø","0")," ",""))</f>
        <v>60</v>
      </c>
      <c r="H35" s="7">
        <f>VALUE(SUBSTITUTE(SUBSTITUTE(RIGHT(Data1!G32,LEN(Data1!G32)-FIND("L",Data1!G32)),"Ø","0")," ",""))</f>
        <v>66</v>
      </c>
      <c r="I35" s="7">
        <f>VALUE(SUBSTITUTE(SUBSTITUTE(RIGHT(Data1!H32,LEN(Data1!H32)-FIND("L",Data1!H32)),"Ø","0")," ",""))</f>
        <v>72</v>
      </c>
      <c r="J35" s="7">
        <f>VALUE(SUBSTITUTE(SUBSTITUTE(RIGHT(Data1!I32,LEN(Data1!I32)-FIND("L",Data1!I32)),"Ø","0")," ",""))</f>
        <v>74</v>
      </c>
      <c r="K35" s="7">
        <f>VALUE(SUBSTITUTE(SUBSTITUTE(RIGHT(Data1!J32,LEN(Data1!J32)-FIND("L",Data1!J32)),"Ø","0")," ",""))</f>
        <v>74</v>
      </c>
      <c r="L35" s="7">
        <f>VALUE(SUBSTITUTE(SUBSTITUTE(RIGHT(Data1!K32,LEN(Data1!K32)-FIND("L",Data1!K32)),"Ø","0")," ",""))</f>
        <v>73</v>
      </c>
      <c r="M35" s="7">
        <f>VALUE(SUBSTITUTE(SUBSTITUTE(RIGHT(Data1!L32,LEN(Data1!L32)-FIND("L",Data1!L32)),"Ø","0")," ",""))</f>
        <v>66</v>
      </c>
      <c r="N35" s="7">
        <f>VALUE(SUBSTITUTE(SUBSTITUTE(RIGHT(Data1!M32,LEN(Data1!M32)-FIND("L",Data1!M32)),"Ø","0")," ",""))</f>
        <v>59</v>
      </c>
      <c r="O35" s="7">
        <f>VALUE(SUBSTITUTE(SUBSTITUTE(RIGHT(Data1!N32,LEN(Data1!N32)-FIND("L",Data1!N32)),"Ø","0")," ",""))</f>
        <v>52</v>
      </c>
    </row>
    <row r="36" spans="2:15">
      <c r="B36" s="9" t="str">
        <v>Philadelphia</v>
      </c>
      <c r="C36" s="3"/>
      <c r="D36" s="7">
        <f>VALUE(SUBSTITUTE(SUBSTITUTE(RIGHT(Data1!C33,LEN(Data1!C33)-FIND("L",Data1!C33)),"Ø","0")," ",""))</f>
        <v>26</v>
      </c>
      <c r="E36" s="7">
        <f>VALUE(SUBSTITUTE(SUBSTITUTE(RIGHT(Data1!D33,LEN(Data1!D33)-FIND("L",Data1!D33)),"Ø","0")," ",""))</f>
        <v>28</v>
      </c>
      <c r="F36" s="7">
        <f>VALUE(SUBSTITUTE(SUBSTITUTE(RIGHT(Data1!E33,LEN(Data1!E33)-FIND("L",Data1!E33)),"Ø","0")," ",""))</f>
        <v>34</v>
      </c>
      <c r="G36" s="7">
        <f>VALUE(SUBSTITUTE(SUBSTITUTE(RIGHT(Data1!F33,LEN(Data1!F33)-FIND("L",Data1!F33)),"Ø","0")," ",""))</f>
        <v>44</v>
      </c>
      <c r="H36" s="7">
        <f>VALUE(SUBSTITUTE(SUBSTITUTE(RIGHT(Data1!G33,LEN(Data1!G33)-FIND("L",Data1!G33)),"Ø","0")," ",""))</f>
        <v>54</v>
      </c>
      <c r="I36" s="7">
        <f>VALUE(SUBSTITUTE(SUBSTITUTE(RIGHT(Data1!H33,LEN(Data1!H33)-FIND("L",Data1!H33)),"Ø","0")," ",""))</f>
        <v>64</v>
      </c>
      <c r="J36" s="7">
        <f>VALUE(SUBSTITUTE(SUBSTITUTE(RIGHT(Data1!I33,LEN(Data1!I33)-FIND("L",Data1!I33)),"Ø","0")," ",""))</f>
        <v>69</v>
      </c>
      <c r="K36" s="7">
        <f>VALUE(SUBSTITUTE(SUBSTITUTE(RIGHT(Data1!J33,LEN(Data1!J33)-FIND("L",Data1!J33)),"Ø","0")," ",""))</f>
        <v>68</v>
      </c>
      <c r="L36" s="7">
        <f>VALUE(SUBSTITUTE(SUBSTITUTE(RIGHT(Data1!K33,LEN(Data1!K33)-FIND("L",Data1!K33)),"Ø","0")," ",""))</f>
        <v>60</v>
      </c>
      <c r="M36" s="7">
        <f>VALUE(SUBSTITUTE(SUBSTITUTE(RIGHT(Data1!L33,LEN(Data1!L33)-FIND("L",Data1!L33)),"Ø","0")," ",""))</f>
        <v>48</v>
      </c>
      <c r="N36" s="7">
        <f>VALUE(SUBSTITUTE(SUBSTITUTE(RIGHT(Data1!M33,LEN(Data1!M33)-FIND("L",Data1!M33)),"Ø","0")," ",""))</f>
        <v>39</v>
      </c>
      <c r="O36" s="7">
        <f>VALUE(SUBSTITUTE(SUBSTITUTE(RIGHT(Data1!N33,LEN(Data1!N33)-FIND("L",Data1!N33)),"Ø","0")," ",""))</f>
        <v>30</v>
      </c>
    </row>
    <row r="37" spans="2:15">
      <c r="B37" s="9" t="str">
        <v>Phoenix</v>
      </c>
      <c r="C37" s="3"/>
      <c r="D37" s="7">
        <f>VALUE(SUBSTITUTE(SUBSTITUTE(RIGHT(Data1!C34,LEN(Data1!C34)-FIND("L",Data1!C34)),"Ø","0")," ",""))</f>
        <v>46</v>
      </c>
      <c r="E37" s="7">
        <f>VALUE(SUBSTITUTE(SUBSTITUTE(RIGHT(Data1!D34,LEN(Data1!D34)-FIND("L",Data1!D34)),"Ø","0")," ",""))</f>
        <v>49</v>
      </c>
      <c r="F37" s="7">
        <f>VALUE(SUBSTITUTE(SUBSTITUTE(RIGHT(Data1!E34,LEN(Data1!E34)-FIND("L",Data1!E34)),"Ø","0")," ",""))</f>
        <v>54</v>
      </c>
      <c r="G37" s="7">
        <f>VALUE(SUBSTITUTE(SUBSTITUTE(RIGHT(Data1!F34,LEN(Data1!F34)-FIND("L",Data1!F34)),"Ø","0")," ",""))</f>
        <v>60</v>
      </c>
      <c r="H37" s="7">
        <f>VALUE(SUBSTITUTE(SUBSTITUTE(RIGHT(Data1!G34,LEN(Data1!G34)-FIND("L",Data1!G34)),"Ø","0")," ",""))</f>
        <v>69</v>
      </c>
      <c r="I37" s="7">
        <f>VALUE(SUBSTITUTE(SUBSTITUTE(RIGHT(Data1!H34,LEN(Data1!H34)-FIND("L",Data1!H34)),"Ø","0")," ",""))</f>
        <v>77</v>
      </c>
      <c r="J37" s="7">
        <f>VALUE(SUBSTITUTE(SUBSTITUTE(RIGHT(Data1!I34,LEN(Data1!I34)-FIND("L",Data1!I34)),"Ø","0")," ",""))</f>
        <v>83</v>
      </c>
      <c r="K37" s="7">
        <f>VALUE(SUBSTITUTE(SUBSTITUTE(RIGHT(Data1!J34,LEN(Data1!J34)-FIND("L",Data1!J34)),"Ø","0")," ",""))</f>
        <v>82</v>
      </c>
      <c r="L37" s="7">
        <f>VALUE(SUBSTITUTE(SUBSTITUTE(RIGHT(Data1!K34,LEN(Data1!K34)-FIND("L",Data1!K34)),"Ø","0")," ",""))</f>
        <v>75</v>
      </c>
      <c r="M37" s="7">
        <f>VALUE(SUBSTITUTE(SUBSTITUTE(RIGHT(Data1!L34,LEN(Data1!L34)-FIND("L",Data1!L34)),"Ø","0")," ",""))</f>
        <v>64</v>
      </c>
      <c r="N37" s="7">
        <f>VALUE(SUBSTITUTE(SUBSTITUTE(RIGHT(Data1!M34,LEN(Data1!M34)-FIND("L",Data1!M34)),"Ø","0")," ",""))</f>
        <v>52</v>
      </c>
      <c r="O37" s="7">
        <f>VALUE(SUBSTITUTE(SUBSTITUTE(RIGHT(Data1!N34,LEN(Data1!N34)-FIND("L",Data1!N34)),"Ø","0")," ",""))</f>
        <v>45</v>
      </c>
    </row>
    <row r="38" spans="2:15">
      <c r="B38" s="9" t="str">
        <v>Pittsburgh</v>
      </c>
      <c r="C38" s="3"/>
      <c r="D38" s="7">
        <f>VALUE(SUBSTITUTE(SUBSTITUTE(RIGHT(Data1!C35,LEN(Data1!C35)-FIND("L",Data1!C35)),"Ø","0")," ",""))</f>
        <v>21</v>
      </c>
      <c r="E38" s="7">
        <f>VALUE(SUBSTITUTE(SUBSTITUTE(RIGHT(Data1!D35,LEN(Data1!D35)-FIND("L",Data1!D35)),"Ø","0")," ",""))</f>
        <v>23</v>
      </c>
      <c r="F38" s="7">
        <f>VALUE(SUBSTITUTE(SUBSTITUTE(RIGHT(Data1!E35,LEN(Data1!E35)-FIND("L",Data1!E35)),"Ø","0")," ",""))</f>
        <v>30</v>
      </c>
      <c r="G38" s="7">
        <f>VALUE(SUBSTITUTE(SUBSTITUTE(RIGHT(Data1!F35,LEN(Data1!F35)-FIND("L",Data1!F35)),"Ø","0")," ",""))</f>
        <v>40</v>
      </c>
      <c r="H38" s="7">
        <f>VALUE(SUBSTITUTE(SUBSTITUTE(RIGHT(Data1!G35,LEN(Data1!G35)-FIND("L",Data1!G35)),"Ø","0")," ",""))</f>
        <v>49</v>
      </c>
      <c r="I38" s="7">
        <f>VALUE(SUBSTITUTE(SUBSTITUTE(RIGHT(Data1!H35,LEN(Data1!H35)-FIND("L",Data1!H35)),"Ø","0")," ",""))</f>
        <v>58</v>
      </c>
      <c r="J38" s="7">
        <f>VALUE(SUBSTITUTE(SUBSTITUTE(RIGHT(Data1!I35,LEN(Data1!I35)-FIND("L",Data1!I35)),"Ø","0")," ",""))</f>
        <v>63</v>
      </c>
      <c r="K38" s="7">
        <f>VALUE(SUBSTITUTE(SUBSTITUTE(RIGHT(Data1!J35,LEN(Data1!J35)-FIND("L",Data1!J35)),"Ø","0")," ",""))</f>
        <v>62</v>
      </c>
      <c r="L38" s="7">
        <f>VALUE(SUBSTITUTE(SUBSTITUTE(RIGHT(Data1!K35,LEN(Data1!K35)-FIND("L",Data1!K35)),"Ø","0")," ",""))</f>
        <v>54</v>
      </c>
      <c r="M38" s="7">
        <f>VALUE(SUBSTITUTE(SUBSTITUTE(RIGHT(Data1!L35,LEN(Data1!L35)-FIND("L",Data1!L35)),"Ø","0")," ",""))</f>
        <v>43</v>
      </c>
      <c r="N38" s="7">
        <f>VALUE(SUBSTITUTE(SUBSTITUTE(RIGHT(Data1!M35,LEN(Data1!M35)-FIND("L",Data1!M35)),"Ø","0")," ",""))</f>
        <v>35</v>
      </c>
      <c r="O38" s="7">
        <f>VALUE(SUBSTITUTE(SUBSTITUTE(RIGHT(Data1!N35,LEN(Data1!N35)-FIND("L",Data1!N35)),"Ø","0")," ",""))</f>
        <v>25</v>
      </c>
    </row>
    <row r="39" spans="2:15">
      <c r="B39" s="9" t="str">
        <v>Portland</v>
      </c>
      <c r="C39" s="3"/>
      <c r="D39" s="7">
        <f>VALUE(SUBSTITUTE(SUBSTITUTE(RIGHT(Data1!C36,LEN(Data1!C36)-FIND("L",Data1!C36)),"Ø","0")," ",""))</f>
        <v>36</v>
      </c>
      <c r="E39" s="7">
        <f>VALUE(SUBSTITUTE(SUBSTITUTE(RIGHT(Data1!D36,LEN(Data1!D36)-FIND("L",Data1!D36)),"Ø","0")," ",""))</f>
        <v>37</v>
      </c>
      <c r="F39" s="7">
        <f>VALUE(SUBSTITUTE(SUBSTITUTE(RIGHT(Data1!E36,LEN(Data1!E36)-FIND("L",Data1!E36)),"Ø","0")," ",""))</f>
        <v>39</v>
      </c>
      <c r="G39" s="7">
        <f>VALUE(SUBSTITUTE(SUBSTITUTE(RIGHT(Data1!F36,LEN(Data1!F36)-FIND("L",Data1!F36)),"Ø","0")," ",""))</f>
        <v>43</v>
      </c>
      <c r="H39" s="7">
        <f>VALUE(SUBSTITUTE(SUBSTITUTE(RIGHT(Data1!G36,LEN(Data1!G36)-FIND("L",Data1!G36)),"Ø","0")," ",""))</f>
        <v>48</v>
      </c>
      <c r="I39" s="7">
        <f>VALUE(SUBSTITUTE(SUBSTITUTE(RIGHT(Data1!H36,LEN(Data1!H36)-FIND("L",Data1!H36)),"Ø","0")," ",""))</f>
        <v>52</v>
      </c>
      <c r="J39" s="7">
        <f>VALUE(SUBSTITUTE(SUBSTITUTE(RIGHT(Data1!I36,LEN(Data1!I36)-FIND("L",Data1!I36)),"Ø","0")," ",""))</f>
        <v>56</v>
      </c>
      <c r="K39" s="7">
        <f>VALUE(SUBSTITUTE(SUBSTITUTE(RIGHT(Data1!J36,LEN(Data1!J36)-FIND("L",Data1!J36)),"Ø","0")," ",""))</f>
        <v>57</v>
      </c>
      <c r="L39" s="7">
        <f>VALUE(SUBSTITUTE(SUBSTITUTE(RIGHT(Data1!K36,LEN(Data1!K36)-FIND("L",Data1!K36)),"Ø","0")," ",""))</f>
        <v>52</v>
      </c>
      <c r="M39" s="7">
        <f>VALUE(SUBSTITUTE(SUBSTITUTE(RIGHT(Data1!L36,LEN(Data1!L36)-FIND("L",Data1!L36)),"Ø","0")," ",""))</f>
        <v>46</v>
      </c>
      <c r="N39" s="7">
        <f>VALUE(SUBSTITUTE(SUBSTITUTE(RIGHT(Data1!M36,LEN(Data1!M36)-FIND("L",Data1!M36)),"Ø","0")," ",""))</f>
        <v>41</v>
      </c>
      <c r="O39" s="7">
        <f>VALUE(SUBSTITUTE(SUBSTITUTE(RIGHT(Data1!N36,LEN(Data1!N36)-FIND("L",Data1!N36)),"Ø","0")," ",""))</f>
        <v>35</v>
      </c>
    </row>
    <row r="40" spans="2:15">
      <c r="B40" s="9" t="str">
        <v>Providence</v>
      </c>
      <c r="C40" s="3"/>
      <c r="D40" s="7">
        <f>VALUE(SUBSTITUTE(SUBSTITUTE(RIGHT(Data1!C37,LEN(Data1!C37)-FIND("L",Data1!C37)),"Ø","0")," ",""))</f>
        <v>21</v>
      </c>
      <c r="E40" s="7">
        <f>VALUE(SUBSTITUTE(SUBSTITUTE(RIGHT(Data1!D37,LEN(Data1!D37)-FIND("L",Data1!D37)),"Ø","0")," ",""))</f>
        <v>24</v>
      </c>
      <c r="F40" s="7">
        <f>VALUE(SUBSTITUTE(SUBSTITUTE(RIGHT(Data1!E37,LEN(Data1!E37)-FIND("L",Data1!E37)),"Ø","0")," ",""))</f>
        <v>30</v>
      </c>
      <c r="G40" s="7">
        <f>VALUE(SUBSTITUTE(SUBSTITUTE(RIGHT(Data1!F37,LEN(Data1!F37)-FIND("L",Data1!F37)),"Ø","0")," ",""))</f>
        <v>40</v>
      </c>
      <c r="H40" s="7">
        <f>VALUE(SUBSTITUTE(SUBSTITUTE(RIGHT(Data1!G37,LEN(Data1!G37)-FIND("L",Data1!G37)),"Ø","0")," ",""))</f>
        <v>49</v>
      </c>
      <c r="I40" s="7">
        <f>VALUE(SUBSTITUTE(SUBSTITUTE(RIGHT(Data1!H37,LEN(Data1!H37)-FIND("L",Data1!H37)),"Ø","0")," ",""))</f>
        <v>58</v>
      </c>
      <c r="J40" s="7">
        <f>VALUE(SUBSTITUTE(SUBSTITUTE(RIGHT(Data1!I37,LEN(Data1!I37)-FIND("L",Data1!I37)),"Ø","0")," ",""))</f>
        <v>64</v>
      </c>
      <c r="K40" s="7">
        <f>VALUE(SUBSTITUTE(SUBSTITUTE(RIGHT(Data1!J37,LEN(Data1!J37)-FIND("L",Data1!J37)),"Ø","0")," ",""))</f>
        <v>63</v>
      </c>
      <c r="L40" s="7">
        <f>VALUE(SUBSTITUTE(SUBSTITUTE(RIGHT(Data1!K37,LEN(Data1!K37)-FIND("L",Data1!K37)),"Ø","0")," ",""))</f>
        <v>55</v>
      </c>
      <c r="M40" s="7">
        <f>VALUE(SUBSTITUTE(SUBSTITUTE(RIGHT(Data1!L37,LEN(Data1!L37)-FIND("L",Data1!L37)),"Ø","0")," ",""))</f>
        <v>44</v>
      </c>
      <c r="N40" s="7">
        <f>VALUE(SUBSTITUTE(SUBSTITUTE(RIGHT(Data1!M37,LEN(Data1!M37)-FIND("L",Data1!M37)),"Ø","0")," ",""))</f>
        <v>36</v>
      </c>
      <c r="O40" s="7">
        <f>VALUE(SUBSTITUTE(SUBSTITUTE(RIGHT(Data1!N37,LEN(Data1!N37)-FIND("L",Data1!N37)),"Ø","0")," ",""))</f>
        <v>26</v>
      </c>
    </row>
    <row r="41" spans="2:15">
      <c r="B41" s="9" t="str">
        <v>Raleigh</v>
      </c>
      <c r="C41" s="3"/>
      <c r="D41" s="7">
        <f>VALUE(SUBSTITUTE(SUBSTITUTE(RIGHT(Data1!C38,LEN(Data1!C38)-FIND("L",Data1!C38)),"Ø","0")," ",""))</f>
        <v>30</v>
      </c>
      <c r="E41" s="7">
        <f>VALUE(SUBSTITUTE(SUBSTITUTE(RIGHT(Data1!D38,LEN(Data1!D38)-FIND("L",Data1!D38)),"Ø","0")," ",""))</f>
        <v>32</v>
      </c>
      <c r="F41" s="7">
        <f>VALUE(SUBSTITUTE(SUBSTITUTE(RIGHT(Data1!E38,LEN(Data1!E38)-FIND("L",Data1!E38)),"Ø","0")," ",""))</f>
        <v>39</v>
      </c>
      <c r="G41" s="7">
        <f>VALUE(SUBSTITUTE(SUBSTITUTE(RIGHT(Data1!F38,LEN(Data1!F38)-FIND("L",Data1!F38)),"Ø","0")," ",""))</f>
        <v>48</v>
      </c>
      <c r="H41" s="7">
        <f>VALUE(SUBSTITUTE(SUBSTITUTE(RIGHT(Data1!G38,LEN(Data1!G38)-FIND("L",Data1!G38)),"Ø","0")," ",""))</f>
        <v>57</v>
      </c>
      <c r="I41" s="7">
        <f>VALUE(SUBSTITUTE(SUBSTITUTE(RIGHT(Data1!H38,LEN(Data1!H38)-FIND("L",Data1!H38)),"Ø","0")," ",""))</f>
        <v>66</v>
      </c>
      <c r="J41" s="7">
        <f>VALUE(SUBSTITUTE(SUBSTITUTE(RIGHT(Data1!I38,LEN(Data1!I38)-FIND("L",Data1!I38)),"Ø","0")," ",""))</f>
        <v>69</v>
      </c>
      <c r="K41" s="7">
        <f>VALUE(SUBSTITUTE(SUBSTITUTE(RIGHT(Data1!J38,LEN(Data1!J38)-FIND("L",Data1!J38)),"Ø","0")," ",""))</f>
        <v>68</v>
      </c>
      <c r="L41" s="7">
        <f>VALUE(SUBSTITUTE(SUBSTITUTE(RIGHT(Data1!K38,LEN(Data1!K38)-FIND("L",Data1!K38)),"Ø","0")," ",""))</f>
        <v>61</v>
      </c>
      <c r="M41" s="7">
        <f>VALUE(SUBSTITUTE(SUBSTITUTE(RIGHT(Data1!L38,LEN(Data1!L38)-FIND("L",Data1!L38)),"Ø","0")," ",""))</f>
        <v>50</v>
      </c>
      <c r="N41" s="7">
        <f>VALUE(SUBSTITUTE(SUBSTITUTE(RIGHT(Data1!M38,LEN(Data1!M38)-FIND("L",Data1!M38)),"Ø","0")," ",""))</f>
        <v>41</v>
      </c>
      <c r="O41" s="7">
        <f>VALUE(SUBSTITUTE(SUBSTITUTE(RIGHT(Data1!N38,LEN(Data1!N38)-FIND("L",Data1!N38)),"Ø","0")," ",""))</f>
        <v>33</v>
      </c>
    </row>
    <row r="42" spans="2:15">
      <c r="B42" s="9" t="str">
        <v>Richmond</v>
      </c>
      <c r="C42" s="3"/>
      <c r="D42" s="7">
        <f>VALUE(SUBSTITUTE(SUBSTITUTE(RIGHT(Data1!C39,LEN(Data1!C39)-FIND("L",Data1!C39)),"Ø","0")," ",""))</f>
        <v>28</v>
      </c>
      <c r="E42" s="7">
        <f>VALUE(SUBSTITUTE(SUBSTITUTE(RIGHT(Data1!D39,LEN(Data1!D39)-FIND("L",Data1!D39)),"Ø","0")," ",""))</f>
        <v>31</v>
      </c>
      <c r="F42" s="7">
        <f>VALUE(SUBSTITUTE(SUBSTITUTE(RIGHT(Data1!E39,LEN(Data1!E39)-FIND("L",Data1!E39)),"Ø","0")," ",""))</f>
        <v>37</v>
      </c>
      <c r="G42" s="7">
        <f>VALUE(SUBSTITUTE(SUBSTITUTE(RIGHT(Data1!F39,LEN(Data1!F39)-FIND("L",Data1!F39)),"Ø","0")," ",""))</f>
        <v>46</v>
      </c>
      <c r="H42" s="7">
        <f>VALUE(SUBSTITUTE(SUBSTITUTE(RIGHT(Data1!G39,LEN(Data1!G39)-FIND("L",Data1!G39)),"Ø","0")," ",""))</f>
        <v>55</v>
      </c>
      <c r="I42" s="7">
        <f>VALUE(SUBSTITUTE(SUBSTITUTE(RIGHT(Data1!H39,LEN(Data1!H39)-FIND("L",Data1!H39)),"Ø","0")," ",""))</f>
        <v>65</v>
      </c>
      <c r="J42" s="7">
        <f>VALUE(SUBSTITUTE(SUBSTITUTE(RIGHT(Data1!I39,LEN(Data1!I39)-FIND("L",Data1!I39)),"Ø","0")," ",""))</f>
        <v>69</v>
      </c>
      <c r="K42" s="7">
        <f>VALUE(SUBSTITUTE(SUBSTITUTE(RIGHT(Data1!J39,LEN(Data1!J39)-FIND("L",Data1!J39)),"Ø","0")," ",""))</f>
        <v>67</v>
      </c>
      <c r="L42" s="7">
        <f>VALUE(SUBSTITUTE(SUBSTITUTE(RIGHT(Data1!K39,LEN(Data1!K39)-FIND("L",Data1!K39)),"Ø","0")," ",""))</f>
        <v>60</v>
      </c>
      <c r="M42" s="7">
        <f>VALUE(SUBSTITUTE(SUBSTITUTE(RIGHT(Data1!L39,LEN(Data1!L39)-FIND("L",Data1!L39)),"Ø","0")," ",""))</f>
        <v>48</v>
      </c>
      <c r="N42" s="7">
        <f>VALUE(SUBSTITUTE(SUBSTITUTE(RIGHT(Data1!M39,LEN(Data1!M39)-FIND("L",Data1!M39)),"Ø","0")," ",""))</f>
        <v>39</v>
      </c>
      <c r="O42" s="7">
        <f>VALUE(SUBSTITUTE(SUBSTITUTE(RIGHT(Data1!N39,LEN(Data1!N39)-FIND("L",Data1!N39)),"Ø","0")," ",""))</f>
        <v>31</v>
      </c>
    </row>
    <row r="43" spans="2:15">
      <c r="B43" s="9" t="str">
        <v>Riverside</v>
      </c>
      <c r="C43" s="3"/>
      <c r="D43" s="7">
        <f>VALUE(SUBSTITUTE(SUBSTITUTE(RIGHT(Data1!C40,LEN(Data1!C40)-FIND("L",Data1!C40)),"Ø","0")," ",""))</f>
        <v>43</v>
      </c>
      <c r="E43" s="7">
        <f>VALUE(SUBSTITUTE(SUBSTITUTE(RIGHT(Data1!D40,LEN(Data1!D40)-FIND("L",Data1!D40)),"Ø","0")," ",""))</f>
        <v>45</v>
      </c>
      <c r="F43" s="7">
        <f>VALUE(SUBSTITUTE(SUBSTITUTE(RIGHT(Data1!E40,LEN(Data1!E40)-FIND("L",Data1!E40)),"Ø","0")," ",""))</f>
        <v>46</v>
      </c>
      <c r="G43" s="7">
        <f>VALUE(SUBSTITUTE(SUBSTITUTE(RIGHT(Data1!F40,LEN(Data1!F40)-FIND("L",Data1!F40)),"Ø","0")," ",""))</f>
        <v>50</v>
      </c>
      <c r="H43" s="7">
        <f>VALUE(SUBSTITUTE(SUBSTITUTE(RIGHT(Data1!G40,LEN(Data1!G40)-FIND("L",Data1!G40)),"Ø","0")," ",""))</f>
        <v>55</v>
      </c>
      <c r="I43" s="7">
        <f>VALUE(SUBSTITUTE(SUBSTITUTE(RIGHT(Data1!H40,LEN(Data1!H40)-FIND("L",Data1!H40)),"Ø","0")," ",""))</f>
        <v>59</v>
      </c>
      <c r="J43" s="7">
        <f>VALUE(SUBSTITUTE(SUBSTITUTE(RIGHT(Data1!I40,LEN(Data1!I40)-FIND("L",Data1!I40)),"Ø","0")," ",""))</f>
        <v>64</v>
      </c>
      <c r="K43" s="7">
        <f>VALUE(SUBSTITUTE(SUBSTITUTE(RIGHT(Data1!J40,LEN(Data1!J40)-FIND("L",Data1!J40)),"Ø","0")," ",""))</f>
        <v>65</v>
      </c>
      <c r="L43" s="7">
        <f>VALUE(SUBSTITUTE(SUBSTITUTE(RIGHT(Data1!K40,LEN(Data1!K40)-FIND("L",Data1!K40)),"Ø","0")," ",""))</f>
        <v>61</v>
      </c>
      <c r="M43" s="7">
        <f>VALUE(SUBSTITUTE(SUBSTITUTE(RIGHT(Data1!L40,LEN(Data1!L40)-FIND("L",Data1!L40)),"Ø","0")," ",""))</f>
        <v>55</v>
      </c>
      <c r="N43" s="7">
        <f>VALUE(SUBSTITUTE(SUBSTITUTE(RIGHT(Data1!M40,LEN(Data1!M40)-FIND("L",Data1!M40)),"Ø","0")," ",""))</f>
        <v>47</v>
      </c>
      <c r="O43" s="7">
        <f>VALUE(SUBSTITUTE(SUBSTITUTE(RIGHT(Data1!N40,LEN(Data1!N40)-FIND("L",Data1!N40)),"Ø","0")," ",""))</f>
        <v>42</v>
      </c>
    </row>
    <row r="44" spans="2:15">
      <c r="B44" s="9" t="str">
        <v>Rochester</v>
      </c>
      <c r="C44" s="3"/>
      <c r="D44" s="7">
        <f>VALUE(SUBSTITUTE(SUBSTITUTE(RIGHT(Data1!C41,LEN(Data1!C41)-FIND("L",Data1!C41)),"Ø","0")," ",""))</f>
        <v>18</v>
      </c>
      <c r="E44" s="7">
        <f>VALUE(SUBSTITUTE(SUBSTITUTE(RIGHT(Data1!D41,LEN(Data1!D41)-FIND("L",Data1!D41)),"Ø","0")," ",""))</f>
        <v>19</v>
      </c>
      <c r="F44" s="7">
        <f>VALUE(SUBSTITUTE(SUBSTITUTE(RIGHT(Data1!E41,LEN(Data1!E41)-FIND("L",Data1!E41)),"Ø","0")," ",""))</f>
        <v>26</v>
      </c>
      <c r="G44" s="7">
        <f>VALUE(SUBSTITUTE(SUBSTITUTE(RIGHT(Data1!F41,LEN(Data1!F41)-FIND("L",Data1!F41)),"Ø","0")," ",""))</f>
        <v>37</v>
      </c>
      <c r="H44" s="7">
        <f>VALUE(SUBSTITUTE(SUBSTITUTE(RIGHT(Data1!G41,LEN(Data1!G41)-FIND("L",Data1!G41)),"Ø","0")," ",""))</f>
        <v>46</v>
      </c>
      <c r="I44" s="7">
        <f>VALUE(SUBSTITUTE(SUBSTITUTE(RIGHT(Data1!H41,LEN(Data1!H41)-FIND("L",Data1!H41)),"Ø","0")," ",""))</f>
        <v>56</v>
      </c>
      <c r="J44" s="7">
        <f>VALUE(SUBSTITUTE(SUBSTITUTE(RIGHT(Data1!I41,LEN(Data1!I41)-FIND("L",Data1!I41)),"Ø","0")," ",""))</f>
        <v>61</v>
      </c>
      <c r="K44" s="7">
        <f>VALUE(SUBSTITUTE(SUBSTITUTE(RIGHT(Data1!J41,LEN(Data1!J41)-FIND("L",Data1!J41)),"Ø","0")," ",""))</f>
        <v>60</v>
      </c>
      <c r="L44" s="7">
        <f>VALUE(SUBSTITUTE(SUBSTITUTE(RIGHT(Data1!K41,LEN(Data1!K41)-FIND("L",Data1!K41)),"Ø","0")," ",""))</f>
        <v>52</v>
      </c>
      <c r="M44" s="7">
        <f>VALUE(SUBSTITUTE(SUBSTITUTE(RIGHT(Data1!L41,LEN(Data1!L41)-FIND("L",Data1!L41)),"Ø","0")," ",""))</f>
        <v>42</v>
      </c>
      <c r="N44" s="7">
        <f>VALUE(SUBSTITUTE(SUBSTITUTE(RIGHT(Data1!M41,LEN(Data1!M41)-FIND("L",Data1!M41)),"Ø","0")," ",""))</f>
        <v>33</v>
      </c>
      <c r="O44" s="7">
        <f>VALUE(SUBSTITUTE(SUBSTITUTE(RIGHT(Data1!N41,LEN(Data1!N41)-FIND("L",Data1!N41)),"Ø","0")," ",""))</f>
        <v>24</v>
      </c>
    </row>
    <row r="45" spans="2:15">
      <c r="B45" s="9" t="str">
        <v>Sacramento</v>
      </c>
      <c r="C45" s="3"/>
      <c r="D45" s="7">
        <f>VALUE(SUBSTITUTE(SUBSTITUTE(RIGHT(Data1!C42,LEN(Data1!C42)-FIND("L",Data1!C42)),"Ø","0")," ",""))</f>
        <v>39</v>
      </c>
      <c r="E45" s="7">
        <f>VALUE(SUBSTITUTE(SUBSTITUTE(RIGHT(Data1!D42,LEN(Data1!D42)-FIND("L",Data1!D42)),"Ø","0")," ",""))</f>
        <v>41</v>
      </c>
      <c r="F45" s="7">
        <f>VALUE(SUBSTITUTE(SUBSTITUTE(RIGHT(Data1!E42,LEN(Data1!E42)-FIND("L",Data1!E42)),"Ø","0")," ",""))</f>
        <v>44</v>
      </c>
      <c r="G45" s="7">
        <f>VALUE(SUBSTITUTE(SUBSTITUTE(RIGHT(Data1!F42,LEN(Data1!F42)-FIND("L",Data1!F42)),"Ø","0")," ",""))</f>
        <v>46</v>
      </c>
      <c r="H45" s="7">
        <f>VALUE(SUBSTITUTE(SUBSTITUTE(RIGHT(Data1!G42,LEN(Data1!G42)-FIND("L",Data1!G42)),"Ø","0")," ",""))</f>
        <v>51</v>
      </c>
      <c r="I45" s="7">
        <f>VALUE(SUBSTITUTE(SUBSTITUTE(RIGHT(Data1!H42,LEN(Data1!H42)-FIND("L",Data1!H42)),"Ø","0")," ",""))</f>
        <v>56</v>
      </c>
      <c r="J45" s="7">
        <f>VALUE(SUBSTITUTE(SUBSTITUTE(RIGHT(Data1!I42,LEN(Data1!I42)-FIND("L",Data1!I42)),"Ø","0")," ",""))</f>
        <v>58</v>
      </c>
      <c r="K45" s="7">
        <f>VALUE(SUBSTITUTE(SUBSTITUTE(RIGHT(Data1!J42,LEN(Data1!J42)-FIND("L",Data1!J42)),"Ø","0")," ",""))</f>
        <v>58</v>
      </c>
      <c r="L45" s="7">
        <f>VALUE(SUBSTITUTE(SUBSTITUTE(RIGHT(Data1!K42,LEN(Data1!K42)-FIND("L",Data1!K42)),"Ø","0")," ",""))</f>
        <v>56</v>
      </c>
      <c r="M45" s="7">
        <f>VALUE(SUBSTITUTE(SUBSTITUTE(RIGHT(Data1!L42,LEN(Data1!L42)-FIND("L",Data1!L42)),"Ø","0")," ",""))</f>
        <v>50</v>
      </c>
      <c r="N45" s="7">
        <f>VALUE(SUBSTITUTE(SUBSTITUTE(RIGHT(Data1!M42,LEN(Data1!M42)-FIND("L",Data1!M42)),"Ø","0")," ",""))</f>
        <v>43</v>
      </c>
      <c r="O45" s="7">
        <f>VALUE(SUBSTITUTE(SUBSTITUTE(RIGHT(Data1!N42,LEN(Data1!N42)-FIND("L",Data1!N42)),"Ø","0")," ",""))</f>
        <v>38</v>
      </c>
    </row>
    <row r="46" spans="2:15">
      <c r="B46" s="9" t="str">
        <v>Salt Lake City</v>
      </c>
      <c r="C46" s="3"/>
      <c r="D46" s="7">
        <f>VALUE(SUBSTITUTE(SUBSTITUTE(RIGHT(Data1!C43,LEN(Data1!C43)-FIND("L",Data1!C43)),"Ø","0")," ",""))</f>
        <v>22</v>
      </c>
      <c r="E46" s="7">
        <f>VALUE(SUBSTITUTE(SUBSTITUTE(RIGHT(Data1!D43,LEN(Data1!D43)-FIND("L",Data1!D43)),"Ø","0")," ",""))</f>
        <v>25</v>
      </c>
      <c r="F46" s="7">
        <f>VALUE(SUBSTITUTE(SUBSTITUTE(RIGHT(Data1!E43,LEN(Data1!E43)-FIND("L",Data1!E43)),"Ø","0")," ",""))</f>
        <v>34</v>
      </c>
      <c r="G46" s="7">
        <f>VALUE(SUBSTITUTE(SUBSTITUTE(RIGHT(Data1!F43,LEN(Data1!F43)-FIND("L",Data1!F43)),"Ø","0")," ",""))</f>
        <v>40</v>
      </c>
      <c r="H46" s="7">
        <f>VALUE(SUBSTITUTE(SUBSTITUTE(RIGHT(Data1!G43,LEN(Data1!G43)-FIND("L",Data1!G43)),"Ø","0")," ",""))</f>
        <v>48</v>
      </c>
      <c r="I46" s="7">
        <f>VALUE(SUBSTITUTE(SUBSTITUTE(RIGHT(Data1!H43,LEN(Data1!H43)-FIND("L",Data1!H43)),"Ø","0")," ",""))</f>
        <v>56</v>
      </c>
      <c r="J46" s="7">
        <f>VALUE(SUBSTITUTE(SUBSTITUTE(RIGHT(Data1!I43,LEN(Data1!I43)-FIND("L",Data1!I43)),"Ø","0")," ",""))</f>
        <v>65</v>
      </c>
      <c r="K46" s="7">
        <f>VALUE(SUBSTITUTE(SUBSTITUTE(RIGHT(Data1!J43,LEN(Data1!J43)-FIND("L",Data1!J43)),"Ø","0")," ",""))</f>
        <v>63</v>
      </c>
      <c r="L46" s="7">
        <f>VALUE(SUBSTITUTE(SUBSTITUTE(RIGHT(Data1!K43,LEN(Data1!K43)-FIND("L",Data1!K43)),"Ø","0")," ",""))</f>
        <v>53</v>
      </c>
      <c r="M46" s="7">
        <f>VALUE(SUBSTITUTE(SUBSTITUTE(RIGHT(Data1!L43,LEN(Data1!L43)-FIND("L",Data1!L43)),"Ø","0")," ",""))</f>
        <v>41</v>
      </c>
      <c r="N46" s="7">
        <f>VALUE(SUBSTITUTE(SUBSTITUTE(RIGHT(Data1!M43,LEN(Data1!M43)-FIND("L",Data1!M43)),"Ø","0")," ",""))</f>
        <v>31</v>
      </c>
      <c r="O46" s="7">
        <f>VALUE(SUBSTITUTE(SUBSTITUTE(RIGHT(Data1!N43,LEN(Data1!N43)-FIND("L",Data1!N43)),"Ø","0")," ",""))</f>
        <v>23</v>
      </c>
    </row>
    <row r="47" spans="2:15">
      <c r="B47" s="9" t="str">
        <v>San Antonio</v>
      </c>
      <c r="C47" s="3"/>
      <c r="D47" s="7">
        <f>VALUE(SUBSTITUTE(SUBSTITUTE(RIGHT(Data1!C44,LEN(Data1!C44)-FIND("L",Data1!C44)),"Ø","0")," ",""))</f>
        <v>41</v>
      </c>
      <c r="E47" s="7">
        <f>VALUE(SUBSTITUTE(SUBSTITUTE(RIGHT(Data1!D44,LEN(Data1!D44)-FIND("L",Data1!D44)),"Ø","0")," ",""))</f>
        <v>44</v>
      </c>
      <c r="F47" s="7">
        <f>VALUE(SUBSTITUTE(SUBSTITUTE(RIGHT(Data1!E44,LEN(Data1!E44)-FIND("L",Data1!E44)),"Ø","0")," ",""))</f>
        <v>51</v>
      </c>
      <c r="G47" s="7">
        <f>VALUE(SUBSTITUTE(SUBSTITUTE(RIGHT(Data1!F44,LEN(Data1!F44)-FIND("L",Data1!F44)),"Ø","0")," ",""))</f>
        <v>58</v>
      </c>
      <c r="H47" s="7">
        <f>VALUE(SUBSTITUTE(SUBSTITUTE(RIGHT(Data1!G44,LEN(Data1!G44)-FIND("L",Data1!G44)),"Ø","0")," ",""))</f>
        <v>67</v>
      </c>
      <c r="I47" s="7">
        <f>VALUE(SUBSTITUTE(SUBSTITUTE(RIGHT(Data1!H44,LEN(Data1!H44)-FIND("L",Data1!H44)),"Ø","0")," ",""))</f>
        <v>73</v>
      </c>
      <c r="J47" s="7">
        <f>VALUE(SUBSTITUTE(SUBSTITUTE(RIGHT(Data1!I44,LEN(Data1!I44)-FIND("L",Data1!I44)),"Ø","0")," ",""))</f>
        <v>75</v>
      </c>
      <c r="K47" s="7">
        <f>VALUE(SUBSTITUTE(SUBSTITUTE(RIGHT(Data1!J44,LEN(Data1!J44)-FIND("L",Data1!J44)),"Ø","0")," ",""))</f>
        <v>75</v>
      </c>
      <c r="L47" s="7">
        <f>VALUE(SUBSTITUTE(SUBSTITUTE(RIGHT(Data1!K44,LEN(Data1!K44)-FIND("L",Data1!K44)),"Ø","0")," ",""))</f>
        <v>69</v>
      </c>
      <c r="M47" s="7">
        <f>VALUE(SUBSTITUTE(SUBSTITUTE(RIGHT(Data1!L44,LEN(Data1!L44)-FIND("L",Data1!L44)),"Ø","0")," ",""))</f>
        <v>60</v>
      </c>
      <c r="N47" s="7">
        <f>VALUE(SUBSTITUTE(SUBSTITUTE(RIGHT(Data1!M44,LEN(Data1!M44)-FIND("L",Data1!M44)),"Ø","0")," ",""))</f>
        <v>50</v>
      </c>
      <c r="O47" s="7">
        <f>VALUE(SUBSTITUTE(SUBSTITUTE(RIGHT(Data1!N44,LEN(Data1!N44)-FIND("L",Data1!N44)),"Ø","0")," ",""))</f>
        <v>42</v>
      </c>
    </row>
    <row r="48" spans="2:15">
      <c r="B48" s="9" t="str">
        <v>San Diego</v>
      </c>
      <c r="C48" s="3"/>
      <c r="D48" s="7">
        <f>VALUE(SUBSTITUTE(SUBSTITUTE(RIGHT(Data1!C45,LEN(Data1!C45)-FIND("L",Data1!C45)),"Ø","0")," ",""))</f>
        <v>49</v>
      </c>
      <c r="E48" s="7">
        <f>VALUE(SUBSTITUTE(SUBSTITUTE(RIGHT(Data1!D45,LEN(Data1!D45)-FIND("L",Data1!D45)),"Ø","0")," ",""))</f>
        <v>51</v>
      </c>
      <c r="F48" s="7">
        <f>VALUE(SUBSTITUTE(SUBSTITUTE(RIGHT(Data1!E45,LEN(Data1!E45)-FIND("L",Data1!E45)),"Ø","0")," ",""))</f>
        <v>53</v>
      </c>
      <c r="G48" s="7">
        <f>VALUE(SUBSTITUTE(SUBSTITUTE(RIGHT(Data1!F45,LEN(Data1!F45)-FIND("L",Data1!F45)),"Ø","0")," ",""))</f>
        <v>56</v>
      </c>
      <c r="H48" s="7">
        <f>VALUE(SUBSTITUTE(SUBSTITUTE(RIGHT(Data1!G45,LEN(Data1!G45)-FIND("L",Data1!G45)),"Ø","0")," ",""))</f>
        <v>59</v>
      </c>
      <c r="I48" s="7">
        <f>VALUE(SUBSTITUTE(SUBSTITUTE(RIGHT(Data1!H45,LEN(Data1!H45)-FIND("L",Data1!H45)),"Ø","0")," ",""))</f>
        <v>62</v>
      </c>
      <c r="J48" s="7">
        <f>VALUE(SUBSTITUTE(SUBSTITUTE(RIGHT(Data1!I45,LEN(Data1!I45)-FIND("L",Data1!I45)),"Ø","0")," ",""))</f>
        <v>65</v>
      </c>
      <c r="K48" s="7">
        <f>VALUE(SUBSTITUTE(SUBSTITUTE(RIGHT(Data1!J45,LEN(Data1!J45)-FIND("L",Data1!J45)),"Ø","0")," ",""))</f>
        <v>67</v>
      </c>
      <c r="L48" s="7">
        <f>VALUE(SUBSTITUTE(SUBSTITUTE(RIGHT(Data1!K45,LEN(Data1!K45)-FIND("L",Data1!K45)),"Ø","0")," ",""))</f>
        <v>65</v>
      </c>
      <c r="M48" s="7">
        <f>VALUE(SUBSTITUTE(SUBSTITUTE(RIGHT(Data1!L45,LEN(Data1!L45)-FIND("L",Data1!L45)),"Ø","0")," ",""))</f>
        <v>61</v>
      </c>
      <c r="N48" s="7">
        <f>VALUE(SUBSTITUTE(SUBSTITUTE(RIGHT(Data1!M45,LEN(Data1!M45)-FIND("L",Data1!M45)),"Ø","0")," ",""))</f>
        <v>54</v>
      </c>
      <c r="O48" s="7">
        <f>VALUE(SUBSTITUTE(SUBSTITUTE(RIGHT(Data1!N45,LEN(Data1!N45)-FIND("L",Data1!N45)),"Ø","0")," ",""))</f>
        <v>48</v>
      </c>
    </row>
    <row r="49" spans="2:15">
      <c r="B49" s="9" t="str">
        <v>San Francisco</v>
      </c>
      <c r="C49" s="3"/>
      <c r="D49" s="7">
        <f>VALUE(SUBSTITUTE(SUBSTITUTE(RIGHT(Data1!C46,LEN(Data1!C46)-FIND("L",Data1!C46)),"Ø","0")," ",""))</f>
        <v>46</v>
      </c>
      <c r="E49" s="7">
        <f>VALUE(SUBSTITUTE(SUBSTITUTE(RIGHT(Data1!D46,LEN(Data1!D46)-FIND("L",Data1!D46)),"Ø","0")," ",""))</f>
        <v>48</v>
      </c>
      <c r="F49" s="7">
        <f>VALUE(SUBSTITUTE(SUBSTITUTE(RIGHT(Data1!E46,LEN(Data1!E46)-FIND("L",Data1!E46)),"Ø","0")," ",""))</f>
        <v>49</v>
      </c>
      <c r="G49" s="7">
        <f>VALUE(SUBSTITUTE(SUBSTITUTE(RIGHT(Data1!F46,LEN(Data1!F46)-FIND("L",Data1!F46)),"Ø","0")," ",""))</f>
        <v>49</v>
      </c>
      <c r="H49" s="7">
        <f>VALUE(SUBSTITUTE(SUBSTITUTE(RIGHT(Data1!G46,LEN(Data1!G46)-FIND("L",Data1!G46)),"Ø","0")," ",""))</f>
        <v>51</v>
      </c>
      <c r="I49" s="7">
        <f>VALUE(SUBSTITUTE(SUBSTITUTE(RIGHT(Data1!H46,LEN(Data1!H46)-FIND("L",Data1!H46)),"Ø","0")," ",""))</f>
        <v>53</v>
      </c>
      <c r="J49" s="7">
        <f>VALUE(SUBSTITUTE(SUBSTITUTE(RIGHT(Data1!I46,LEN(Data1!I46)-FIND("L",Data1!I46)),"Ø","0")," ",""))</f>
        <v>54</v>
      </c>
      <c r="K49" s="7">
        <f>VALUE(SUBSTITUTE(SUBSTITUTE(RIGHT(Data1!J46,LEN(Data1!J46)-FIND("L",Data1!J46)),"Ø","0")," ",""))</f>
        <v>55</v>
      </c>
      <c r="L49" s="7">
        <f>VALUE(SUBSTITUTE(SUBSTITUTE(RIGHT(Data1!K46,LEN(Data1!K46)-FIND("L",Data1!K46)),"Ø","0")," ",""))</f>
        <v>55</v>
      </c>
      <c r="M49" s="7">
        <f>VALUE(SUBSTITUTE(SUBSTITUTE(RIGHT(Data1!L46,LEN(Data1!L46)-FIND("L",Data1!L46)),"Ø","0")," ",""))</f>
        <v>54</v>
      </c>
      <c r="N49" s="7">
        <f>VALUE(SUBSTITUTE(SUBSTITUTE(RIGHT(Data1!M46,LEN(Data1!M46)-FIND("L",Data1!M46)),"Ø","0")," ",""))</f>
        <v>50</v>
      </c>
      <c r="O49" s="7">
        <f>VALUE(SUBSTITUTE(SUBSTITUTE(RIGHT(Data1!N46,LEN(Data1!N46)-FIND("L",Data1!N46)),"Ø","0")," ",""))</f>
        <v>46</v>
      </c>
    </row>
    <row r="50" spans="2:15">
      <c r="B50" s="9" t="str">
        <v>San Jose</v>
      </c>
      <c r="C50" s="3"/>
      <c r="D50" s="7">
        <f>VALUE(SUBSTITUTE(SUBSTITUTE(RIGHT(Data1!C47,LEN(Data1!C47)-FIND("L",Data1!C47)),"Ø","0")," ",""))</f>
        <v>42</v>
      </c>
      <c r="E50" s="7">
        <f>VALUE(SUBSTITUTE(SUBSTITUTE(RIGHT(Data1!D47,LEN(Data1!D47)-FIND("L",Data1!D47)),"Ø","0")," ",""))</f>
        <v>45</v>
      </c>
      <c r="F50" s="7">
        <f>VALUE(SUBSTITUTE(SUBSTITUTE(RIGHT(Data1!E47,LEN(Data1!E47)-FIND("L",Data1!E47)),"Ø","0")," ",""))</f>
        <v>47</v>
      </c>
      <c r="G50" s="7">
        <f>VALUE(SUBSTITUTE(SUBSTITUTE(RIGHT(Data1!F47,LEN(Data1!F47)-FIND("L",Data1!F47)),"Ø","0")," ",""))</f>
        <v>49</v>
      </c>
      <c r="H50" s="7">
        <f>VALUE(SUBSTITUTE(SUBSTITUTE(RIGHT(Data1!G47,LEN(Data1!G47)-FIND("L",Data1!G47)),"Ø","0")," ",""))</f>
        <v>52</v>
      </c>
      <c r="I50" s="7">
        <f>VALUE(SUBSTITUTE(SUBSTITUTE(RIGHT(Data1!H47,LEN(Data1!H47)-FIND("L",Data1!H47)),"Ø","0")," ",""))</f>
        <v>56</v>
      </c>
      <c r="J50" s="7">
        <f>VALUE(SUBSTITUTE(SUBSTITUTE(RIGHT(Data1!I47,LEN(Data1!I47)-FIND("L",Data1!I47)),"Ø","0")," ",""))</f>
        <v>58</v>
      </c>
      <c r="K50" s="7">
        <f>VALUE(SUBSTITUTE(SUBSTITUTE(RIGHT(Data1!J47,LEN(Data1!J47)-FIND("L",Data1!J47)),"Ø","0")," ",""))</f>
        <v>58</v>
      </c>
      <c r="L50" s="7">
        <f>VALUE(SUBSTITUTE(SUBSTITUTE(RIGHT(Data1!K47,LEN(Data1!K47)-FIND("L",Data1!K47)),"Ø","0")," ",""))</f>
        <v>57</v>
      </c>
      <c r="M50" s="7">
        <f>VALUE(SUBSTITUTE(SUBSTITUTE(RIGHT(Data1!L47,LEN(Data1!L47)-FIND("L",Data1!L47)),"Ø","0")," ",""))</f>
        <v>53</v>
      </c>
      <c r="N50" s="7">
        <f>VALUE(SUBSTITUTE(SUBSTITUTE(RIGHT(Data1!M47,LEN(Data1!M47)-FIND("L",Data1!M47)),"Ø","0")," ",""))</f>
        <v>46</v>
      </c>
      <c r="O50" s="7">
        <f>VALUE(SUBSTITUTE(SUBSTITUTE(RIGHT(Data1!N47,LEN(Data1!N47)-FIND("L",Data1!N47)),"Ø","0")," ",""))</f>
        <v>42</v>
      </c>
    </row>
    <row r="51" spans="2:15">
      <c r="B51" s="9" t="str">
        <v>Seattle</v>
      </c>
      <c r="C51" s="3"/>
      <c r="D51" s="7">
        <f>VALUE(SUBSTITUTE(SUBSTITUTE(RIGHT(Data1!C48,LEN(Data1!C48)-FIND("L",Data1!C48)),"Ø","0")," ",""))</f>
        <v>37</v>
      </c>
      <c r="E51" s="7">
        <f>VALUE(SUBSTITUTE(SUBSTITUTE(RIGHT(Data1!D48,LEN(Data1!D48)-FIND("L",Data1!D48)),"Ø","0")," ",""))</f>
        <v>37</v>
      </c>
      <c r="F51" s="7">
        <f>VALUE(SUBSTITUTE(SUBSTITUTE(RIGHT(Data1!E48,LEN(Data1!E48)-FIND("L",Data1!E48)),"Ø","0")," ",""))</f>
        <v>40</v>
      </c>
      <c r="G51" s="7">
        <f>VALUE(SUBSTITUTE(SUBSTITUTE(RIGHT(Data1!F48,LEN(Data1!F48)-FIND("L",Data1!F48)),"Ø","0")," ",""))</f>
        <v>43</v>
      </c>
      <c r="H51" s="7">
        <f>VALUE(SUBSTITUTE(SUBSTITUTE(RIGHT(Data1!G48,LEN(Data1!G48)-FIND("L",Data1!G48)),"Ø","0")," ",""))</f>
        <v>49</v>
      </c>
      <c r="I51" s="7">
        <f>VALUE(SUBSTITUTE(SUBSTITUTE(RIGHT(Data1!H48,LEN(Data1!H48)-FIND("L",Data1!H48)),"Ø","0")," ",""))</f>
        <v>53</v>
      </c>
      <c r="J51" s="7">
        <f>VALUE(SUBSTITUTE(SUBSTITUTE(RIGHT(Data1!I48,LEN(Data1!I48)-FIND("L",Data1!I48)),"Ø","0")," ",""))</f>
        <v>57</v>
      </c>
      <c r="K51" s="7">
        <f>VALUE(SUBSTITUTE(SUBSTITUTE(RIGHT(Data1!J48,LEN(Data1!J48)-FIND("L",Data1!J48)),"Ø","0")," ",""))</f>
        <v>57</v>
      </c>
      <c r="L51" s="7">
        <f>VALUE(SUBSTITUTE(SUBSTITUTE(RIGHT(Data1!K48,LEN(Data1!K48)-FIND("L",Data1!K48)),"Ø","0")," ",""))</f>
        <v>53</v>
      </c>
      <c r="M51" s="7">
        <f>VALUE(SUBSTITUTE(SUBSTITUTE(RIGHT(Data1!L48,LEN(Data1!L48)-FIND("L",Data1!L48)),"Ø","0")," ",""))</f>
        <v>47</v>
      </c>
      <c r="N51" s="7">
        <f>VALUE(SUBSTITUTE(SUBSTITUTE(RIGHT(Data1!M48,LEN(Data1!M48)-FIND("L",Data1!M48)),"Ø","0")," ",""))</f>
        <v>41</v>
      </c>
      <c r="O51" s="7">
        <f>VALUE(SUBSTITUTE(SUBSTITUTE(RIGHT(Data1!N48,LEN(Data1!N48)-FIND("L",Data1!N48)),"Ø","0")," ",""))</f>
        <v>36</v>
      </c>
    </row>
    <row r="52" spans="2:15">
      <c r="B52" s="9" t="str">
        <v>St. Louis</v>
      </c>
      <c r="C52" s="3"/>
      <c r="D52" s="7">
        <f>VALUE(SUBSTITUTE(SUBSTITUTE(RIGHT(Data1!C49,LEN(Data1!C49)-FIND("L",Data1!C49)),"Ø","0")," ",""))</f>
        <v>24</v>
      </c>
      <c r="E52" s="7">
        <f>VALUE(SUBSTITUTE(SUBSTITUTE(RIGHT(Data1!D49,LEN(Data1!D49)-FIND("L",Data1!D49)),"Ø","0")," ",""))</f>
        <v>28</v>
      </c>
      <c r="F52" s="7">
        <f>VALUE(SUBSTITUTE(SUBSTITUTE(RIGHT(Data1!E49,LEN(Data1!E49)-FIND("L",Data1!E49)),"Ø","0")," ",""))</f>
        <v>37</v>
      </c>
      <c r="G52" s="7">
        <f>VALUE(SUBSTITUTE(SUBSTITUTE(RIGHT(Data1!F49,LEN(Data1!F49)-FIND("L",Data1!F49)),"Ø","0")," ",""))</f>
        <v>47</v>
      </c>
      <c r="H52" s="7">
        <f>VALUE(SUBSTITUTE(SUBSTITUTE(RIGHT(Data1!G49,LEN(Data1!G49)-FIND("L",Data1!G49)),"Ø","0")," ",""))</f>
        <v>57</v>
      </c>
      <c r="I52" s="7">
        <f>VALUE(SUBSTITUTE(SUBSTITUTE(RIGHT(Data1!H49,LEN(Data1!H49)-FIND("L",Data1!H49)),"Ø","0")," ",""))</f>
        <v>67</v>
      </c>
      <c r="J52" s="7">
        <f>VALUE(SUBSTITUTE(SUBSTITUTE(RIGHT(Data1!I49,LEN(Data1!I49)-FIND("L",Data1!I49)),"Ø","0")," ",""))</f>
        <v>71</v>
      </c>
      <c r="K52" s="7">
        <f>VALUE(SUBSTITUTE(SUBSTITUTE(RIGHT(Data1!J49,LEN(Data1!J49)-FIND("L",Data1!J49)),"Ø","0")," ",""))</f>
        <v>69</v>
      </c>
      <c r="L52" s="7">
        <f>VALUE(SUBSTITUTE(SUBSTITUTE(RIGHT(Data1!K49,LEN(Data1!K49)-FIND("L",Data1!K49)),"Ø","0")," ",""))</f>
        <v>61</v>
      </c>
      <c r="M52" s="7">
        <f>VALUE(SUBSTITUTE(SUBSTITUTE(RIGHT(Data1!L49,LEN(Data1!L49)-FIND("L",Data1!L49)),"Ø","0")," ",""))</f>
        <v>49</v>
      </c>
      <c r="N52" s="7">
        <f>VALUE(SUBSTITUTE(SUBSTITUTE(RIGHT(Data1!M49,LEN(Data1!M49)-FIND("L",Data1!M49)),"Ø","0")," ",""))</f>
        <v>38</v>
      </c>
      <c r="O52" s="7">
        <f>VALUE(SUBSTITUTE(SUBSTITUTE(RIGHT(Data1!N49,LEN(Data1!N49)-FIND("L",Data1!N49)),"Ø","0")," ",""))</f>
        <v>27</v>
      </c>
    </row>
    <row r="53" spans="2:15">
      <c r="B53" s="9" t="str">
        <v>Tampa</v>
      </c>
      <c r="C53" s="3"/>
      <c r="D53" s="7">
        <f>VALUE(SUBSTITUTE(SUBSTITUTE(RIGHT(Data1!C50,LEN(Data1!C50)-FIND("L",Data1!C50)),"Ø","0")," ",""))</f>
        <v>52</v>
      </c>
      <c r="E53" s="7">
        <f>VALUE(SUBSTITUTE(SUBSTITUTE(RIGHT(Data1!D50,LEN(Data1!D50)-FIND("L",Data1!D50)),"Ø","0")," ",""))</f>
        <v>54</v>
      </c>
      <c r="F53" s="7">
        <f>VALUE(SUBSTITUTE(SUBSTITUTE(RIGHT(Data1!E50,LEN(Data1!E50)-FIND("L",Data1!E50)),"Ø","0")," ",""))</f>
        <v>58</v>
      </c>
      <c r="G53" s="7">
        <f>VALUE(SUBSTITUTE(SUBSTITUTE(RIGHT(Data1!F50,LEN(Data1!F50)-FIND("L",Data1!F50)),"Ø","0")," ",""))</f>
        <v>63</v>
      </c>
      <c r="H53" s="7">
        <f>VALUE(SUBSTITUTE(SUBSTITUTE(RIGHT(Data1!G50,LEN(Data1!G50)-FIND("L",Data1!G50)),"Ø","0")," ",""))</f>
        <v>70</v>
      </c>
      <c r="I53" s="7">
        <f>VALUE(SUBSTITUTE(SUBSTITUTE(RIGHT(Data1!H50,LEN(Data1!H50)-FIND("L",Data1!H50)),"Ø","0")," ",""))</f>
        <v>75</v>
      </c>
      <c r="J53" s="7">
        <f>VALUE(SUBSTITUTE(SUBSTITUTE(RIGHT(Data1!I50,LEN(Data1!I50)-FIND("L",Data1!I50)),"Ø","0")," ",""))</f>
        <v>76</v>
      </c>
      <c r="K53" s="7">
        <f>VALUE(SUBSTITUTE(SUBSTITUTE(RIGHT(Data1!J50,LEN(Data1!J50)-FIND("L",Data1!J50)),"Ø","0")," ",""))</f>
        <v>76</v>
      </c>
      <c r="L53" s="7">
        <f>VALUE(SUBSTITUTE(SUBSTITUTE(RIGHT(Data1!K50,LEN(Data1!K50)-FIND("L",Data1!K50)),"Ø","0")," ",""))</f>
        <v>75</v>
      </c>
      <c r="M53" s="7">
        <f>VALUE(SUBSTITUTE(SUBSTITUTE(RIGHT(Data1!L50,LEN(Data1!L50)-FIND("L",Data1!L50)),"Ø","0")," ",""))</f>
        <v>68</v>
      </c>
      <c r="N53" s="7">
        <f>VALUE(SUBSTITUTE(SUBSTITUTE(RIGHT(Data1!M50,LEN(Data1!M50)-FIND("L",Data1!M50)),"Ø","0")," ",""))</f>
        <v>60</v>
      </c>
      <c r="O53" s="7">
        <f>VALUE(SUBSTITUTE(SUBSTITUTE(RIGHT(Data1!N50,LEN(Data1!N50)-FIND("L",Data1!N50)),"Ø","0")," ",""))</f>
        <v>54</v>
      </c>
    </row>
    <row r="54" spans="2:15">
      <c r="B54" s="10" t="str">
        <v>Virginia Beach</v>
      </c>
      <c r="C54" s="3"/>
      <c r="D54" s="7">
        <f>VALUE(SUBSTITUTE(SUBSTITUTE(RIGHT(Data1!C51,LEN(Data1!C51)-FIND("L",Data1!C51)),"Ø","0")," ",""))</f>
        <v>33</v>
      </c>
      <c r="E54" s="7">
        <f>VALUE(SUBSTITUTE(SUBSTITUTE(RIGHT(Data1!D51,LEN(Data1!D51)-FIND("L",Data1!D51)),"Ø","0")," ",""))</f>
        <v>34</v>
      </c>
      <c r="F54" s="7">
        <f>VALUE(SUBSTITUTE(SUBSTITUTE(RIGHT(Data1!E51,LEN(Data1!E51)-FIND("L",Data1!E51)),"Ø","0")," ",""))</f>
        <v>41</v>
      </c>
      <c r="G54" s="7">
        <f>VALUE(SUBSTITUTE(SUBSTITUTE(RIGHT(Data1!F51,LEN(Data1!F51)-FIND("L",Data1!F51)),"Ø","0")," ",""))</f>
        <v>49</v>
      </c>
      <c r="H54" s="7">
        <f>VALUE(SUBSTITUTE(SUBSTITUTE(RIGHT(Data1!G51,LEN(Data1!G51)-FIND("L",Data1!G51)),"Ø","0")," ",""))</f>
        <v>58</v>
      </c>
      <c r="I54" s="7">
        <f>VALUE(SUBSTITUTE(SUBSTITUTE(RIGHT(Data1!H51,LEN(Data1!H51)-FIND("L",Data1!H51)),"Ø","0")," ",""))</f>
        <v>67</v>
      </c>
      <c r="J54" s="7">
        <f>VALUE(SUBSTITUTE(SUBSTITUTE(RIGHT(Data1!I51,LEN(Data1!I51)-FIND("L",Data1!I51)),"Ø","0")," ",""))</f>
        <v>72</v>
      </c>
      <c r="K54" s="7">
        <f>VALUE(SUBSTITUTE(SUBSTITUTE(RIGHT(Data1!J51,LEN(Data1!J51)-FIND("L",Data1!J51)),"Ø","0")," ",""))</f>
        <v>71</v>
      </c>
      <c r="L54" s="7">
        <f>VALUE(SUBSTITUTE(SUBSTITUTE(RIGHT(Data1!K51,LEN(Data1!K51)-FIND("L",Data1!K51)),"Ø","0")," ",""))</f>
        <v>65</v>
      </c>
      <c r="M54" s="7">
        <f>VALUE(SUBSTITUTE(SUBSTITUTE(RIGHT(Data1!L51,LEN(Data1!L51)-FIND("L",Data1!L51)),"Ø","0")," ",""))</f>
        <v>54</v>
      </c>
      <c r="N54" s="7">
        <f>VALUE(SUBSTITUTE(SUBSTITUTE(RIGHT(Data1!M51,LEN(Data1!M51)-FIND("L",Data1!M51)),"Ø","0")," ",""))</f>
        <v>45</v>
      </c>
      <c r="O54" s="7">
        <f>VALUE(SUBSTITUTE(SUBSTITUTE(RIGHT(Data1!N51,LEN(Data1!N51)-FIND("L",Data1!N51)),"Ø","0")," ",""))</f>
        <v>36</v>
      </c>
    </row>
    <row r="55" spans="2:15">
      <c r="B55" s="10" t="s">
        <v>642</v>
      </c>
      <c r="D55" s="7">
        <f>MIN(D30:D54)</f>
        <v>8</v>
      </c>
      <c r="E55" s="7">
        <f t="shared" ref="E55:O55" si="0">MIN(E30:E54)</f>
        <v>13</v>
      </c>
      <c r="F55" s="7">
        <f t="shared" si="0"/>
        <v>24</v>
      </c>
      <c r="G55" s="7">
        <f t="shared" si="0"/>
        <v>37</v>
      </c>
      <c r="H55" s="7">
        <f t="shared" si="0"/>
        <v>46</v>
      </c>
      <c r="I55" s="7">
        <f t="shared" si="0"/>
        <v>52</v>
      </c>
      <c r="J55" s="7">
        <f t="shared" si="0"/>
        <v>54</v>
      </c>
      <c r="K55" s="7">
        <f t="shared" si="0"/>
        <v>55</v>
      </c>
      <c r="L55" s="7">
        <f t="shared" si="0"/>
        <v>52</v>
      </c>
      <c r="M55" s="7">
        <f t="shared" si="0"/>
        <v>40</v>
      </c>
      <c r="N55" s="7">
        <f t="shared" si="0"/>
        <v>26</v>
      </c>
      <c r="O55" s="7">
        <f t="shared" si="0"/>
        <v>12</v>
      </c>
    </row>
    <row r="57" spans="2:15">
      <c r="B57" s="36" t="s">
        <v>640</v>
      </c>
      <c r="C57" s="33"/>
      <c r="D57" s="37">
        <f t="array" ref="D57:O57">CheckSumLow</f>
        <v>172862</v>
      </c>
      <c r="E57" s="37">
        <v>185534</v>
      </c>
      <c r="F57" s="37">
        <v>214009</v>
      </c>
      <c r="G57" s="37">
        <v>248444</v>
      </c>
      <c r="H57" s="37">
        <v>287509</v>
      </c>
      <c r="I57" s="37">
        <v>323773</v>
      </c>
      <c r="J57" s="37">
        <v>343816</v>
      </c>
      <c r="K57" s="37">
        <v>340769</v>
      </c>
      <c r="L57" s="37">
        <v>312610</v>
      </c>
      <c r="M57" s="37">
        <v>266825</v>
      </c>
      <c r="N57" s="37">
        <v>222505</v>
      </c>
      <c r="O57" s="31">
        <v>182849</v>
      </c>
    </row>
    <row r="62" spans="2:15">
      <c r="D62">
        <f>MIN(CS_TableLow)</f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944D-DA11-4BB6-8F21-99CD31FC93F0}">
  <sheetPr codeName="Sheet10">
    <tabColor rgb="FFCCFFCC"/>
  </sheetPr>
  <dimension ref="A1:O56"/>
  <sheetViews>
    <sheetView showGridLines="0" topLeftCell="A34" zoomScale="110" zoomScaleNormal="110" workbookViewId="0">
      <selection activeCell="C5" sqref="C5"/>
    </sheetView>
  </sheetViews>
  <sheetFormatPr defaultRowHeight="14.65"/>
  <cols>
    <col min="1" max="1" width="11.28515625" customWidth="1"/>
    <col min="2" max="2" width="20.7109375" customWidth="1"/>
    <col min="3" max="3" width="18.28515625" customWidth="1"/>
    <col min="10" max="10" width="12.7109375" bestFit="1" customWidth="1"/>
    <col min="11" max="14" width="10.28515625" customWidth="1"/>
    <col min="16" max="16" width="9.28515625" customWidth="1"/>
    <col min="18" max="18" width="9.28515625" customWidth="1"/>
  </cols>
  <sheetData>
    <row r="1" spans="1:15">
      <c r="J1" s="101" t="s">
        <v>643</v>
      </c>
      <c r="K1" s="101"/>
      <c r="L1" s="101"/>
      <c r="M1" s="101"/>
      <c r="N1" s="101"/>
    </row>
    <row r="2" spans="1:15">
      <c r="B2" s="22" t="s">
        <v>644</v>
      </c>
      <c r="C2" s="23"/>
      <c r="J2" s="101" t="s">
        <v>645</v>
      </c>
      <c r="K2" s="103">
        <f>MONTH(DATEVALUE(C3&amp;" 1"))</f>
        <v>1</v>
      </c>
      <c r="L2" s="101"/>
      <c r="M2" s="101"/>
      <c r="N2" s="101"/>
    </row>
    <row r="3" spans="1:15">
      <c r="B3" s="24" t="s">
        <v>646</v>
      </c>
      <c r="C3" s="20" t="s">
        <v>5</v>
      </c>
      <c r="J3" s="101" t="s">
        <v>647</v>
      </c>
      <c r="K3" s="101" t="s">
        <v>648</v>
      </c>
      <c r="L3" s="101" t="s">
        <v>649</v>
      </c>
      <c r="M3" s="101" t="s">
        <v>650</v>
      </c>
      <c r="N3" s="101" t="s">
        <v>651</v>
      </c>
    </row>
    <row r="4" spans="1:15" ht="15">
      <c r="A4" s="15" t="s">
        <v>652</v>
      </c>
      <c r="B4" s="15" t="s">
        <v>637</v>
      </c>
      <c r="C4" s="15" t="s">
        <v>653</v>
      </c>
    </row>
    <row r="5" spans="1:15" ht="15">
      <c r="A5" s="27">
        <f t="array" ref="A5:A54">CS_Int</f>
        <v>1</v>
      </c>
      <c r="B5" s="19" t="str" cm="1">
        <f t="array" ref="B5">INDEX($J$5:$J$54,$N5)</f>
        <v>Miami</v>
      </c>
      <c r="C5" s="21" cm="1">
        <f t="array" ref="C5">INDEX($K$5:$K$54,$N5)</f>
        <v>76</v>
      </c>
      <c r="J5" t="str">
        <f>SummaryHigh!B5</f>
        <v>Atlanta</v>
      </c>
      <c r="K5" s="103" cm="1">
        <f t="array" ref="K5">INDEX(SummaryHigh!$D$5:$O$54, MATCH(J5, SummaryHigh!$B$5:$B$54, 0), $K$2)</f>
        <v>52</v>
      </c>
      <c r="L5" s="103">
        <f>K5-ROW()/1000</f>
        <v>51.994999999999997</v>
      </c>
      <c r="M5" s="103">
        <f>RANK(L5,$L$5:$L$54,0)</f>
        <v>19</v>
      </c>
      <c r="N5" s="103">
        <f>MATCH(A5,$M$5:$M$54,0)</f>
        <v>24</v>
      </c>
      <c r="O5">
        <f>SUM(K5:L5)</f>
        <v>103.995</v>
      </c>
    </row>
    <row r="6" spans="1:15" ht="15">
      <c r="A6" s="28">
        <v>2</v>
      </c>
      <c r="B6" s="19" t="str" cm="1">
        <f t="array" ref="B6">INDEX($J$5:$J$54,$N6)</f>
        <v>Orlando</v>
      </c>
      <c r="C6" s="21" cm="1">
        <f t="array" ref="C6">INDEX($K$5:$K$54,$N6)</f>
        <v>71</v>
      </c>
      <c r="J6" t="str">
        <f>SummaryHigh!B6</f>
        <v>Austin</v>
      </c>
      <c r="K6" s="103" cm="1">
        <f t="array" ref="K6">INDEX(SummaryHigh!$D$5:$O$54, MATCH(J6, SummaryHigh!$B$5:$B$54, 0), $K$2)</f>
        <v>62</v>
      </c>
      <c r="L6" s="103">
        <f t="shared" ref="L6:L54" si="0">K6-ROW()/1000</f>
        <v>61.994</v>
      </c>
      <c r="M6" s="103">
        <f t="shared" ref="M6:M54" si="1">RANK(L6,$L$5:$L$54,0)</f>
        <v>11</v>
      </c>
      <c r="N6" s="103">
        <f t="shared" ref="N6:N54" si="2">MATCH(A6,$M$5:$M$54,0)</f>
        <v>31</v>
      </c>
    </row>
    <row r="7" spans="1:15" ht="15">
      <c r="A7" s="28">
        <v>3</v>
      </c>
      <c r="B7" s="19" t="str" cm="1">
        <f t="array" ref="B7">INDEX($J$5:$J$54,$N7)</f>
        <v>Tampa</v>
      </c>
      <c r="C7" s="21" cm="1">
        <f t="array" ref="C7">INDEX($K$5:$K$54,$N7)</f>
        <v>70</v>
      </c>
      <c r="J7" t="str">
        <f>SummaryHigh!B7</f>
        <v>Baltimore</v>
      </c>
      <c r="K7" s="103" cm="1">
        <f t="array" ref="K7">INDEX(SummaryHigh!$D$5:$O$54, MATCH(J7, SummaryHigh!$B$5:$B$54, 0), $K$2)</f>
        <v>41</v>
      </c>
      <c r="L7" s="103">
        <f t="shared" si="0"/>
        <v>40.993000000000002</v>
      </c>
      <c r="M7" s="103">
        <f t="shared" si="1"/>
        <v>31</v>
      </c>
      <c r="N7" s="103">
        <f t="shared" si="2"/>
        <v>49</v>
      </c>
    </row>
    <row r="8" spans="1:15" ht="15">
      <c r="A8" s="28">
        <v>4</v>
      </c>
      <c r="B8" s="19" t="str" cm="1">
        <f t="array" ref="B8">INDEX($J$5:$J$54,$N8)</f>
        <v>Phoenix</v>
      </c>
      <c r="C8" s="21" cm="1">
        <f t="array" ref="C8">INDEX($K$5:$K$54,$N8)</f>
        <v>69</v>
      </c>
      <c r="J8" t="str">
        <f>SummaryHigh!B8</f>
        <v>Birmingham</v>
      </c>
      <c r="K8" s="103" cm="1">
        <f t="array" ref="K8">INDEX(SummaryHigh!$D$5:$O$54, MATCH(J8, SummaryHigh!$B$5:$B$54, 0), $K$2)</f>
        <v>54</v>
      </c>
      <c r="L8" s="103">
        <f t="shared" si="0"/>
        <v>53.991999999999997</v>
      </c>
      <c r="M8" s="103">
        <f t="shared" si="1"/>
        <v>17</v>
      </c>
      <c r="N8" s="103">
        <f t="shared" si="2"/>
        <v>33</v>
      </c>
    </row>
    <row r="9" spans="1:15" ht="15">
      <c r="A9" s="28">
        <v>5</v>
      </c>
      <c r="B9" s="19" t="str" cm="1">
        <f t="array" ref="B9">INDEX($J$5:$J$54,$N9)</f>
        <v>Riverside</v>
      </c>
      <c r="C9" s="21" cm="1">
        <f t="array" ref="C9">INDEX($K$5:$K$54,$N9)</f>
        <v>69</v>
      </c>
      <c r="J9" t="str">
        <f>SummaryHigh!B9</f>
        <v>Boston</v>
      </c>
      <c r="K9" s="103" cm="1">
        <f t="array" ref="K9">INDEX(SummaryHigh!$D$5:$O$54, MATCH(J9, SummaryHigh!$B$5:$B$54, 0), $K$2)</f>
        <v>36</v>
      </c>
      <c r="L9" s="103">
        <f t="shared" si="0"/>
        <v>35.991</v>
      </c>
      <c r="M9" s="103">
        <f t="shared" si="1"/>
        <v>40</v>
      </c>
      <c r="N9" s="103">
        <f t="shared" si="2"/>
        <v>39</v>
      </c>
    </row>
    <row r="10" spans="1:15" ht="15">
      <c r="A10" s="28">
        <v>6</v>
      </c>
      <c r="B10" s="19" t="str" cm="1">
        <f t="array" ref="B10">INDEX($J$5:$J$54,$N10)</f>
        <v>Los Angeles</v>
      </c>
      <c r="C10" s="21" cm="1">
        <f t="array" ref="C10">INDEX($K$5:$K$54,$N10)</f>
        <v>68</v>
      </c>
      <c r="J10" t="str">
        <f>SummaryHigh!B10</f>
        <v>Buffalo</v>
      </c>
      <c r="K10" s="103" cm="1">
        <f t="array" ref="K10">INDEX(SummaryHigh!$D$5:$O$54, MATCH(J10, SummaryHigh!$B$5:$B$54, 0), $K$2)</f>
        <v>31</v>
      </c>
      <c r="L10" s="103">
        <f t="shared" si="0"/>
        <v>30.99</v>
      </c>
      <c r="M10" s="103">
        <f t="shared" si="1"/>
        <v>47</v>
      </c>
      <c r="N10" s="103">
        <f t="shared" si="2"/>
        <v>21</v>
      </c>
    </row>
    <row r="11" spans="1:15" ht="15">
      <c r="A11" s="28">
        <v>7</v>
      </c>
      <c r="B11" s="19" t="str" cm="1">
        <f t="array" ref="B11">INDEX($J$5:$J$54,$N11)</f>
        <v>Jacksonville</v>
      </c>
      <c r="C11" s="21" cm="1">
        <f t="array" ref="C11">INDEX($K$5:$K$54,$N11)</f>
        <v>65</v>
      </c>
      <c r="J11" t="str">
        <f>SummaryHigh!B11</f>
        <v>Charlotte</v>
      </c>
      <c r="K11" s="103" cm="1">
        <f t="array" ref="K11">INDEX(SummaryHigh!$D$5:$O$54, MATCH(J11, SummaryHigh!$B$5:$B$54, 0), $K$2)</f>
        <v>51</v>
      </c>
      <c r="L11" s="103">
        <f t="shared" si="0"/>
        <v>50.988999999999997</v>
      </c>
      <c r="M11" s="103">
        <f t="shared" si="1"/>
        <v>20</v>
      </c>
      <c r="N11" s="103">
        <f t="shared" si="2"/>
        <v>18</v>
      </c>
    </row>
    <row r="12" spans="1:15" ht="15">
      <c r="A12" s="28">
        <v>8</v>
      </c>
      <c r="B12" s="19" t="str" cm="1">
        <f t="array" ref="B12">INDEX($J$5:$J$54,$N12)</f>
        <v>San Diego</v>
      </c>
      <c r="C12" s="21" cm="1">
        <f t="array" ref="C12">INDEX($K$5:$K$54,$N12)</f>
        <v>65</v>
      </c>
      <c r="J12" t="str">
        <f>SummaryHigh!B12</f>
        <v>Chicago</v>
      </c>
      <c r="K12" s="103" cm="1">
        <f t="array" ref="K12">INDEX(SummaryHigh!$D$5:$O$54, MATCH(J12, SummaryHigh!$B$5:$B$54, 0), $K$2)</f>
        <v>31</v>
      </c>
      <c r="L12" s="103">
        <f t="shared" si="0"/>
        <v>30.988</v>
      </c>
      <c r="M12" s="103">
        <f t="shared" si="1"/>
        <v>48</v>
      </c>
      <c r="N12" s="103">
        <f t="shared" si="2"/>
        <v>44</v>
      </c>
    </row>
    <row r="13" spans="1:15" ht="15">
      <c r="A13" s="28">
        <v>9</v>
      </c>
      <c r="B13" s="19" t="str" cm="1">
        <f t="array" ref="B13">INDEX($J$5:$J$54,$N13)</f>
        <v>Houston</v>
      </c>
      <c r="C13" s="21" cm="1">
        <f t="array" ref="C13">INDEX($K$5:$K$54,$N13)</f>
        <v>63</v>
      </c>
      <c r="J13" t="str">
        <f>SummaryHigh!B13</f>
        <v>Cincinnati</v>
      </c>
      <c r="K13" s="103" cm="1">
        <f t="array" ref="K13">INDEX(SummaryHigh!$D$5:$O$54, MATCH(J13, SummaryHigh!$B$5:$B$54, 0), $K$2)</f>
        <v>40</v>
      </c>
      <c r="L13" s="103">
        <f t="shared" si="0"/>
        <v>39.987000000000002</v>
      </c>
      <c r="M13" s="103">
        <f t="shared" si="1"/>
        <v>32</v>
      </c>
      <c r="N13" s="103">
        <f t="shared" si="2"/>
        <v>16</v>
      </c>
    </row>
    <row r="14" spans="1:15" ht="15">
      <c r="A14" s="28">
        <v>10</v>
      </c>
      <c r="B14" s="19" t="str" cm="1">
        <f t="array" ref="B14">INDEX($J$5:$J$54,$N14)</f>
        <v>San Antonio</v>
      </c>
      <c r="C14" s="21" cm="1">
        <f t="array" ref="C14">INDEX($K$5:$K$54,$N14)</f>
        <v>63</v>
      </c>
      <c r="J14" t="str">
        <f>SummaryHigh!B14</f>
        <v>Cleveland</v>
      </c>
      <c r="K14" s="103" cm="1">
        <f t="array" ref="K14">INDEX(SummaryHigh!$D$5:$O$54, MATCH(J14, SummaryHigh!$B$5:$B$54, 0), $K$2)</f>
        <v>34</v>
      </c>
      <c r="L14" s="103">
        <f t="shared" si="0"/>
        <v>33.985999999999997</v>
      </c>
      <c r="M14" s="103">
        <f t="shared" si="1"/>
        <v>44</v>
      </c>
      <c r="N14" s="103">
        <f t="shared" si="2"/>
        <v>43</v>
      </c>
    </row>
    <row r="15" spans="1:15" ht="15">
      <c r="A15" s="28">
        <v>11</v>
      </c>
      <c r="B15" s="19" t="str" cm="1">
        <f t="array" ref="B15">INDEX($J$5:$J$54,$N15)</f>
        <v>Austin</v>
      </c>
      <c r="C15" s="21" cm="1">
        <f t="array" ref="C15">INDEX($K$5:$K$54,$N15)</f>
        <v>62</v>
      </c>
      <c r="J15" t="str">
        <f>SummaryHigh!B15</f>
        <v>Columbus</v>
      </c>
      <c r="K15" s="103" cm="1">
        <f t="array" ref="K15">INDEX(SummaryHigh!$D$5:$O$54, MATCH(J15, SummaryHigh!$B$5:$B$54, 0), $K$2)</f>
        <v>37</v>
      </c>
      <c r="L15" s="103">
        <f t="shared" si="0"/>
        <v>36.984999999999999</v>
      </c>
      <c r="M15" s="103">
        <f t="shared" si="1"/>
        <v>37</v>
      </c>
      <c r="N15" s="103">
        <f t="shared" si="2"/>
        <v>2</v>
      </c>
    </row>
    <row r="16" spans="1:15" ht="15">
      <c r="A16" s="28">
        <v>12</v>
      </c>
      <c r="B16" s="19" t="str" cm="1">
        <f t="array" ref="B16">INDEX($J$5:$J$54,$N16)</f>
        <v>New Orleans</v>
      </c>
      <c r="C16" s="21" cm="1">
        <f t="array" ref="C16">INDEX($K$5:$K$54,$N16)</f>
        <v>62</v>
      </c>
      <c r="J16" t="str">
        <f>SummaryHigh!B16</f>
        <v>Dallas</v>
      </c>
      <c r="K16" s="103" cm="1">
        <f t="array" ref="K16">INDEX(SummaryHigh!$D$5:$O$54, MATCH(J16, SummaryHigh!$B$5:$B$54, 0), $K$2)</f>
        <v>57</v>
      </c>
      <c r="L16" s="103">
        <f t="shared" si="0"/>
        <v>56.984000000000002</v>
      </c>
      <c r="M16" s="103">
        <f t="shared" si="1"/>
        <v>15</v>
      </c>
      <c r="N16" s="103">
        <f t="shared" si="2"/>
        <v>28</v>
      </c>
    </row>
    <row r="17" spans="1:14" ht="15">
      <c r="A17" s="28">
        <v>13</v>
      </c>
      <c r="B17" s="19" t="str" cm="1">
        <f t="array" ref="B17">INDEX($J$5:$J$54,$N17)</f>
        <v>Las Vegas</v>
      </c>
      <c r="C17" s="21" cm="1">
        <f t="array" ref="C17">INDEX($K$5:$K$54,$N17)</f>
        <v>58</v>
      </c>
      <c r="J17" t="str">
        <f>SummaryHigh!B17</f>
        <v>Denver</v>
      </c>
      <c r="K17" s="103" cm="1">
        <f t="array" ref="K17">INDEX(SummaryHigh!$D$5:$O$54, MATCH(J17, SummaryHigh!$B$5:$B$54, 0), $K$2)</f>
        <v>45</v>
      </c>
      <c r="L17" s="103">
        <f t="shared" si="0"/>
        <v>44.982999999999997</v>
      </c>
      <c r="M17" s="103">
        <f t="shared" si="1"/>
        <v>29</v>
      </c>
      <c r="N17" s="103">
        <f t="shared" si="2"/>
        <v>20</v>
      </c>
    </row>
    <row r="18" spans="1:14" ht="15">
      <c r="A18" s="28">
        <v>14</v>
      </c>
      <c r="B18" s="19" t="str" cm="1">
        <f t="array" ref="B18">INDEX($J$5:$J$54,$N18)</f>
        <v>San Jose</v>
      </c>
      <c r="C18" s="21" cm="1">
        <f t="array" ref="C18">INDEX($K$5:$K$54,$N18)</f>
        <v>58</v>
      </c>
      <c r="J18" t="str">
        <f>SummaryHigh!B18</f>
        <v>Detroit</v>
      </c>
      <c r="K18" s="103" cm="1">
        <f t="array" ref="K18">INDEX(SummaryHigh!$D$5:$O$54, MATCH(J18, SummaryHigh!$B$5:$B$54, 0), $K$2)</f>
        <v>32</v>
      </c>
      <c r="L18" s="103">
        <f t="shared" si="0"/>
        <v>31.981999999999999</v>
      </c>
      <c r="M18" s="103">
        <f t="shared" si="1"/>
        <v>45</v>
      </c>
      <c r="N18" s="103">
        <f t="shared" si="2"/>
        <v>46</v>
      </c>
    </row>
    <row r="19" spans="1:14" ht="15">
      <c r="A19" s="28">
        <v>15</v>
      </c>
      <c r="B19" s="19" t="str" cm="1">
        <f t="array" ref="B19">INDEX($J$5:$J$54,$N19)</f>
        <v>Dallas</v>
      </c>
      <c r="C19" s="21" cm="1">
        <f t="array" ref="C19">INDEX($K$5:$K$54,$N19)</f>
        <v>57</v>
      </c>
      <c r="J19" t="str">
        <f>SummaryHigh!B19</f>
        <v>Hartford</v>
      </c>
      <c r="K19" s="103" cm="1">
        <f t="array" ref="K19">INDEX(SummaryHigh!$D$5:$O$54, MATCH(J19, SummaryHigh!$B$5:$B$54, 0), $K$2)</f>
        <v>35</v>
      </c>
      <c r="L19" s="103">
        <f t="shared" si="0"/>
        <v>34.981000000000002</v>
      </c>
      <c r="M19" s="103">
        <f t="shared" si="1"/>
        <v>43</v>
      </c>
      <c r="N19" s="103">
        <f t="shared" si="2"/>
        <v>12</v>
      </c>
    </row>
    <row r="20" spans="1:14" ht="15">
      <c r="A20" s="28">
        <v>16</v>
      </c>
      <c r="B20" s="19" t="str" cm="1">
        <f t="array" ref="B20">INDEX($J$5:$J$54,$N20)</f>
        <v>San Francisco</v>
      </c>
      <c r="C20" s="21" cm="1">
        <f t="array" ref="C20">INDEX($K$5:$K$54,$N20)</f>
        <v>57</v>
      </c>
      <c r="J20" t="str">
        <f>SummaryHigh!B20</f>
        <v>Houston</v>
      </c>
      <c r="K20" s="103" cm="1">
        <f t="array" ref="K20">INDEX(SummaryHigh!$D$5:$O$54, MATCH(J20, SummaryHigh!$B$5:$B$54, 0), $K$2)</f>
        <v>63</v>
      </c>
      <c r="L20" s="103">
        <f t="shared" si="0"/>
        <v>62.98</v>
      </c>
      <c r="M20" s="103">
        <f t="shared" si="1"/>
        <v>9</v>
      </c>
      <c r="N20" s="103">
        <f t="shared" si="2"/>
        <v>45</v>
      </c>
    </row>
    <row r="21" spans="1:14" ht="15">
      <c r="A21" s="28">
        <v>17</v>
      </c>
      <c r="B21" s="19" t="str" cm="1">
        <f t="array" ref="B21">INDEX($J$5:$J$54,$N21)</f>
        <v>Birmingham</v>
      </c>
      <c r="C21" s="21" cm="1">
        <f t="array" ref="C21">INDEX($K$5:$K$54,$N21)</f>
        <v>54</v>
      </c>
      <c r="J21" t="str">
        <f>SummaryHigh!B21</f>
        <v>Indianapolis</v>
      </c>
      <c r="K21" s="103" cm="1">
        <f t="array" ref="K21">INDEX(SummaryHigh!$D$5:$O$54, MATCH(J21, SummaryHigh!$B$5:$B$54, 0), $K$2)</f>
        <v>36</v>
      </c>
      <c r="L21" s="103">
        <f t="shared" si="0"/>
        <v>35.978999999999999</v>
      </c>
      <c r="M21" s="103">
        <f t="shared" si="1"/>
        <v>41</v>
      </c>
      <c r="N21" s="103">
        <f t="shared" si="2"/>
        <v>4</v>
      </c>
    </row>
    <row r="22" spans="1:14" ht="15">
      <c r="A22" s="28">
        <v>18</v>
      </c>
      <c r="B22" s="19" t="str" cm="1">
        <f t="array" ref="B22">INDEX($J$5:$J$54,$N22)</f>
        <v>Sacramento</v>
      </c>
      <c r="C22" s="21" cm="1">
        <f t="array" ref="C22">INDEX($K$5:$K$54,$N22)</f>
        <v>54</v>
      </c>
      <c r="J22" t="str">
        <f>SummaryHigh!B22</f>
        <v>Jacksonville</v>
      </c>
      <c r="K22" s="103" cm="1">
        <f t="array" ref="K22">INDEX(SummaryHigh!$D$5:$O$54, MATCH(J22, SummaryHigh!$B$5:$B$54, 0), $K$2)</f>
        <v>65</v>
      </c>
      <c r="L22" s="103">
        <f t="shared" si="0"/>
        <v>64.977999999999994</v>
      </c>
      <c r="M22" s="103">
        <f t="shared" si="1"/>
        <v>7</v>
      </c>
      <c r="N22" s="103">
        <f t="shared" si="2"/>
        <v>41</v>
      </c>
    </row>
    <row r="23" spans="1:14" ht="15">
      <c r="A23" s="28">
        <v>19</v>
      </c>
      <c r="B23" s="19" t="str" cm="1">
        <f t="array" ref="B23">INDEX($J$5:$J$54,$N23)</f>
        <v>Atlanta</v>
      </c>
      <c r="C23" s="21" cm="1">
        <f t="array" ref="C23">INDEX($K$5:$K$54,$N23)</f>
        <v>52</v>
      </c>
      <c r="J23" t="str">
        <f>SummaryHigh!B23</f>
        <v>Kansas City</v>
      </c>
      <c r="K23" s="103" cm="1">
        <f t="array" ref="K23">INDEX(SummaryHigh!$D$5:$O$54, MATCH(J23, SummaryHigh!$B$5:$B$54, 0), $K$2)</f>
        <v>40</v>
      </c>
      <c r="L23" s="103">
        <f t="shared" si="0"/>
        <v>39.976999999999997</v>
      </c>
      <c r="M23" s="103">
        <f t="shared" si="1"/>
        <v>33</v>
      </c>
      <c r="N23" s="103">
        <f t="shared" si="2"/>
        <v>1</v>
      </c>
    </row>
    <row r="24" spans="1:14" ht="15">
      <c r="A24" s="28">
        <v>20</v>
      </c>
      <c r="B24" s="19" t="str" cm="1">
        <f t="array" ref="B24">INDEX($J$5:$J$54,$N24)</f>
        <v>Charlotte</v>
      </c>
      <c r="C24" s="21" cm="1">
        <f t="array" ref="C24">INDEX($K$5:$K$54,$N24)</f>
        <v>51</v>
      </c>
      <c r="J24" t="str">
        <f>SummaryHigh!B24</f>
        <v>Las Vegas</v>
      </c>
      <c r="K24" s="103" cm="1">
        <f t="array" ref="K24">INDEX(SummaryHigh!$D$5:$O$54, MATCH(J24, SummaryHigh!$B$5:$B$54, 0), $K$2)</f>
        <v>58</v>
      </c>
      <c r="L24" s="103">
        <f t="shared" si="0"/>
        <v>57.975999999999999</v>
      </c>
      <c r="M24" s="103">
        <f t="shared" si="1"/>
        <v>13</v>
      </c>
      <c r="N24" s="103">
        <f t="shared" si="2"/>
        <v>7</v>
      </c>
    </row>
    <row r="25" spans="1:14" ht="15">
      <c r="A25" s="28">
        <v>21</v>
      </c>
      <c r="B25" s="19" t="str" cm="1">
        <f t="array" ref="B25">INDEX($J$5:$J$54,$N25)</f>
        <v>Raleigh</v>
      </c>
      <c r="C25" s="21" cm="1">
        <f t="array" ref="C25">INDEX($K$5:$K$54,$N25)</f>
        <v>51</v>
      </c>
      <c r="J25" t="str">
        <f>SummaryHigh!B25</f>
        <v>Los Angeles</v>
      </c>
      <c r="K25" s="103" cm="1">
        <f t="array" ref="K25">INDEX(SummaryHigh!$D$5:$O$54, MATCH(J25, SummaryHigh!$B$5:$B$54, 0), $K$2)</f>
        <v>68</v>
      </c>
      <c r="L25" s="103">
        <f t="shared" si="0"/>
        <v>67.974999999999994</v>
      </c>
      <c r="M25" s="103">
        <f t="shared" si="1"/>
        <v>6</v>
      </c>
      <c r="N25" s="103">
        <f t="shared" si="2"/>
        <v>37</v>
      </c>
    </row>
    <row r="26" spans="1:14" ht="15">
      <c r="A26" s="28">
        <v>22</v>
      </c>
      <c r="B26" s="19" t="str" cm="1">
        <f t="array" ref="B26">INDEX($J$5:$J$54,$N26)</f>
        <v>Memphis</v>
      </c>
      <c r="C26" s="21" cm="1">
        <f t="array" ref="C26">INDEX($K$5:$K$54,$N26)</f>
        <v>50</v>
      </c>
      <c r="J26" t="str">
        <f>SummaryHigh!B26</f>
        <v>Louisville</v>
      </c>
      <c r="K26" s="103" cm="1">
        <f t="array" ref="K26">INDEX(SummaryHigh!$D$5:$O$54, MATCH(J26, SummaryHigh!$B$5:$B$54, 0), $K$2)</f>
        <v>43</v>
      </c>
      <c r="L26" s="103">
        <f t="shared" si="0"/>
        <v>42.973999999999997</v>
      </c>
      <c r="M26" s="103">
        <f t="shared" si="1"/>
        <v>30</v>
      </c>
      <c r="N26" s="103">
        <f t="shared" si="2"/>
        <v>23</v>
      </c>
    </row>
    <row r="27" spans="1:14" ht="15">
      <c r="A27" s="28">
        <v>23</v>
      </c>
      <c r="B27" s="19" t="str" cm="1">
        <f t="array" ref="B27">INDEX($J$5:$J$54,$N27)</f>
        <v>Oklahoma City</v>
      </c>
      <c r="C27" s="21" cm="1">
        <f t="array" ref="C27">INDEX($K$5:$K$54,$N27)</f>
        <v>50</v>
      </c>
      <c r="J27" t="str">
        <f>SummaryHigh!B27</f>
        <v>Memphis</v>
      </c>
      <c r="K27" s="103" cm="1">
        <f t="array" ref="K27">INDEX(SummaryHigh!$D$5:$O$54, MATCH(J27, SummaryHigh!$B$5:$B$54, 0), $K$2)</f>
        <v>50</v>
      </c>
      <c r="L27" s="103">
        <f t="shared" si="0"/>
        <v>49.972999999999999</v>
      </c>
      <c r="M27" s="103">
        <f t="shared" si="1"/>
        <v>22</v>
      </c>
      <c r="N27" s="103">
        <f t="shared" si="2"/>
        <v>30</v>
      </c>
    </row>
    <row r="28" spans="1:14" ht="15">
      <c r="A28" s="28">
        <v>24</v>
      </c>
      <c r="B28" s="19" t="str" cm="1">
        <f t="array" ref="B28">INDEX($J$5:$J$54,$N28)</f>
        <v>Seattle</v>
      </c>
      <c r="C28" s="21" cm="1">
        <f t="array" ref="C28">INDEX($K$5:$K$54,$N28)</f>
        <v>49</v>
      </c>
      <c r="J28" t="str">
        <f>SummaryHigh!B28</f>
        <v>Miami</v>
      </c>
      <c r="K28" s="103" cm="1">
        <f t="array" ref="K28">INDEX(SummaryHigh!$D$5:$O$54, MATCH(J28, SummaryHigh!$B$5:$B$54, 0), $K$2)</f>
        <v>76</v>
      </c>
      <c r="L28" s="103">
        <f t="shared" si="0"/>
        <v>75.971999999999994</v>
      </c>
      <c r="M28" s="103">
        <f t="shared" si="1"/>
        <v>1</v>
      </c>
      <c r="N28" s="103">
        <f t="shared" si="2"/>
        <v>47</v>
      </c>
    </row>
    <row r="29" spans="1:14" ht="15">
      <c r="A29" s="28">
        <v>25</v>
      </c>
      <c r="B29" s="19" t="str" cm="1">
        <f t="array" ref="B29">INDEX($J$5:$J$54,$N29)</f>
        <v>Virginia Beach</v>
      </c>
      <c r="C29" s="21" cm="1">
        <f t="array" ref="C29">INDEX($K$5:$K$54,$N29)</f>
        <v>48</v>
      </c>
      <c r="J29" t="str">
        <f>SummaryHigh!B29</f>
        <v>Milwaukee</v>
      </c>
      <c r="K29" s="103" cm="1">
        <f t="array" ref="K29">INDEX(SummaryHigh!$D$5:$O$54, MATCH(J29, SummaryHigh!$B$5:$B$54, 0), $K$2)</f>
        <v>29</v>
      </c>
      <c r="L29" s="103">
        <f t="shared" si="0"/>
        <v>28.971</v>
      </c>
      <c r="M29" s="103">
        <f t="shared" si="1"/>
        <v>49</v>
      </c>
      <c r="N29" s="103">
        <f t="shared" si="2"/>
        <v>50</v>
      </c>
    </row>
    <row r="30" spans="1:14" ht="15">
      <c r="A30" s="28">
        <v>26</v>
      </c>
      <c r="B30" s="19" t="str" cm="1">
        <f t="array" ref="B30">INDEX($J$5:$J$54,$N30)</f>
        <v>Nashville</v>
      </c>
      <c r="C30" s="21" cm="1">
        <f t="array" ref="C30">INDEX($K$5:$K$54,$N30)</f>
        <v>47</v>
      </c>
      <c r="J30" t="str">
        <f>SummaryHigh!B30</f>
        <v>Minneapolis</v>
      </c>
      <c r="K30" s="103" cm="1">
        <f t="array" ref="K30">INDEX(SummaryHigh!$D$5:$O$54, MATCH(J30, SummaryHigh!$B$5:$B$54, 0), $K$2)</f>
        <v>24</v>
      </c>
      <c r="L30" s="103">
        <f t="shared" si="0"/>
        <v>23.97</v>
      </c>
      <c r="M30" s="103">
        <f t="shared" si="1"/>
        <v>50</v>
      </c>
      <c r="N30" s="103">
        <f t="shared" si="2"/>
        <v>27</v>
      </c>
    </row>
    <row r="31" spans="1:14" ht="15">
      <c r="A31" s="28">
        <v>27</v>
      </c>
      <c r="B31" s="19" t="str" cm="1">
        <f t="array" ref="B31">INDEX($J$5:$J$54,$N31)</f>
        <v>Portland</v>
      </c>
      <c r="C31" s="21" cm="1">
        <f t="array" ref="C31">INDEX($K$5:$K$54,$N31)</f>
        <v>47</v>
      </c>
      <c r="J31" t="str">
        <f>SummaryHigh!B31</f>
        <v>Nashville</v>
      </c>
      <c r="K31" s="103" cm="1">
        <f t="array" ref="K31">INDEX(SummaryHigh!$D$5:$O$54, MATCH(J31, SummaryHigh!$B$5:$B$54, 0), $K$2)</f>
        <v>47</v>
      </c>
      <c r="L31" s="103">
        <f t="shared" si="0"/>
        <v>46.969000000000001</v>
      </c>
      <c r="M31" s="103">
        <f t="shared" si="1"/>
        <v>26</v>
      </c>
      <c r="N31" s="103">
        <f t="shared" si="2"/>
        <v>35</v>
      </c>
    </row>
    <row r="32" spans="1:14" ht="15">
      <c r="A32" s="28">
        <v>28</v>
      </c>
      <c r="B32" s="19" t="str" cm="1">
        <f t="array" ref="B32">INDEX($J$5:$J$54,$N32)</f>
        <v>Richmond</v>
      </c>
      <c r="C32" s="21" cm="1">
        <f t="array" ref="C32">INDEX($K$5:$K$54,$N32)</f>
        <v>47</v>
      </c>
      <c r="J32" t="str">
        <f>SummaryHigh!B32</f>
        <v>New Orleans</v>
      </c>
      <c r="K32" s="103" cm="1">
        <f t="array" ref="K32">INDEX(SummaryHigh!$D$5:$O$54, MATCH(J32, SummaryHigh!$B$5:$B$54, 0), $K$2)</f>
        <v>62</v>
      </c>
      <c r="L32" s="103">
        <f t="shared" si="0"/>
        <v>61.968000000000004</v>
      </c>
      <c r="M32" s="103">
        <f t="shared" si="1"/>
        <v>12</v>
      </c>
      <c r="N32" s="103">
        <f t="shared" si="2"/>
        <v>38</v>
      </c>
    </row>
    <row r="33" spans="1:14" ht="15">
      <c r="A33" s="28">
        <v>29</v>
      </c>
      <c r="B33" s="19" t="str" cm="1">
        <f t="array" ref="B33">INDEX($J$5:$J$54,$N33)</f>
        <v>Denver</v>
      </c>
      <c r="C33" s="21" cm="1">
        <f t="array" ref="C33">INDEX($K$5:$K$54,$N33)</f>
        <v>45</v>
      </c>
      <c r="J33" t="str">
        <f>SummaryHigh!B33</f>
        <v>New York</v>
      </c>
      <c r="K33" s="103" cm="1">
        <f t="array" ref="K33">INDEX(SummaryHigh!$D$5:$O$54, MATCH(J33, SummaryHigh!$B$5:$B$54, 0), $K$2)</f>
        <v>38</v>
      </c>
      <c r="L33" s="103">
        <f t="shared" si="0"/>
        <v>37.966999999999999</v>
      </c>
      <c r="M33" s="103">
        <f t="shared" si="1"/>
        <v>36</v>
      </c>
      <c r="N33" s="103">
        <f t="shared" si="2"/>
        <v>13</v>
      </c>
    </row>
    <row r="34" spans="1:14" ht="15">
      <c r="A34" s="28">
        <v>30</v>
      </c>
      <c r="B34" s="19" t="str" cm="1">
        <f t="array" ref="B34">INDEX($J$5:$J$54,$N34)</f>
        <v>Louisville</v>
      </c>
      <c r="C34" s="21" cm="1">
        <f t="array" ref="C34">INDEX($K$5:$K$54,$N34)</f>
        <v>43</v>
      </c>
      <c r="J34" t="str">
        <f>SummaryHigh!B34</f>
        <v>Oklahoma City</v>
      </c>
      <c r="K34" s="103" cm="1">
        <f t="array" ref="K34">INDEX(SummaryHigh!$D$5:$O$54, MATCH(J34, SummaryHigh!$B$5:$B$54, 0), $K$2)</f>
        <v>50</v>
      </c>
      <c r="L34" s="103">
        <f t="shared" si="0"/>
        <v>49.966000000000001</v>
      </c>
      <c r="M34" s="103">
        <f t="shared" si="1"/>
        <v>23</v>
      </c>
      <c r="N34" s="103">
        <f t="shared" si="2"/>
        <v>22</v>
      </c>
    </row>
    <row r="35" spans="1:14" ht="15">
      <c r="A35" s="28">
        <v>31</v>
      </c>
      <c r="B35" s="19" t="str" cm="1">
        <f t="array" ref="B35">INDEX($J$5:$J$54,$N35)</f>
        <v>Baltimore</v>
      </c>
      <c r="C35" s="21" cm="1">
        <f t="array" ref="C35">INDEX($K$5:$K$54,$N35)</f>
        <v>41</v>
      </c>
      <c r="J35" t="str">
        <f>SummaryHigh!B35</f>
        <v>Orlando</v>
      </c>
      <c r="K35" s="103" cm="1">
        <f t="array" ref="K35">INDEX(SummaryHigh!$D$5:$O$54, MATCH(J35, SummaryHigh!$B$5:$B$54, 0), $K$2)</f>
        <v>71</v>
      </c>
      <c r="L35" s="103">
        <f t="shared" si="0"/>
        <v>70.965000000000003</v>
      </c>
      <c r="M35" s="103">
        <f t="shared" si="1"/>
        <v>2</v>
      </c>
      <c r="N35" s="103">
        <f t="shared" si="2"/>
        <v>3</v>
      </c>
    </row>
    <row r="36" spans="1:14" ht="15">
      <c r="A36" s="28">
        <v>32</v>
      </c>
      <c r="B36" s="19" t="str" cm="1">
        <f t="array" ref="B36">INDEX($J$5:$J$54,$N36)</f>
        <v>Cincinnati</v>
      </c>
      <c r="C36" s="21" cm="1">
        <f t="array" ref="C36">INDEX($K$5:$K$54,$N36)</f>
        <v>40</v>
      </c>
      <c r="J36" t="str">
        <f>SummaryHigh!B36</f>
        <v>Philadelphia</v>
      </c>
      <c r="K36" s="103" cm="1">
        <f t="array" ref="K36">INDEX(SummaryHigh!$D$5:$O$54, MATCH(J36, SummaryHigh!$B$5:$B$54, 0), $K$2)</f>
        <v>40</v>
      </c>
      <c r="L36" s="103">
        <f t="shared" si="0"/>
        <v>39.963999999999999</v>
      </c>
      <c r="M36" s="103">
        <f t="shared" si="1"/>
        <v>34</v>
      </c>
      <c r="N36" s="103">
        <f t="shared" si="2"/>
        <v>9</v>
      </c>
    </row>
    <row r="37" spans="1:14" ht="15">
      <c r="A37" s="28">
        <v>33</v>
      </c>
      <c r="B37" s="19" t="str" cm="1">
        <f t="array" ref="B37">INDEX($J$5:$J$54,$N37)</f>
        <v>Kansas City</v>
      </c>
      <c r="C37" s="21" cm="1">
        <f t="array" ref="C37">INDEX($K$5:$K$54,$N37)</f>
        <v>40</v>
      </c>
      <c r="J37" t="str">
        <f>SummaryHigh!B37</f>
        <v>Phoenix</v>
      </c>
      <c r="K37" s="103" cm="1">
        <f t="array" ref="K37">INDEX(SummaryHigh!$D$5:$O$54, MATCH(J37, SummaryHigh!$B$5:$B$54, 0), $K$2)</f>
        <v>69</v>
      </c>
      <c r="L37" s="103">
        <f t="shared" si="0"/>
        <v>68.962999999999994</v>
      </c>
      <c r="M37" s="103">
        <f t="shared" si="1"/>
        <v>4</v>
      </c>
      <c r="N37" s="103">
        <f t="shared" si="2"/>
        <v>19</v>
      </c>
    </row>
    <row r="38" spans="1:14" ht="15">
      <c r="A38" s="28">
        <v>34</v>
      </c>
      <c r="B38" s="19" t="str" cm="1">
        <f t="array" ref="B38">INDEX($J$5:$J$54,$N38)</f>
        <v>Philadelphia</v>
      </c>
      <c r="C38" s="21" cm="1">
        <f t="array" ref="C38">INDEX($K$5:$K$54,$N38)</f>
        <v>40</v>
      </c>
      <c r="J38" t="str">
        <f>SummaryHigh!B38</f>
        <v>Pittsburgh</v>
      </c>
      <c r="K38" s="103" cm="1">
        <f t="array" ref="K38">INDEX(SummaryHigh!$D$5:$O$54, MATCH(J38, SummaryHigh!$B$5:$B$54, 0), $K$2)</f>
        <v>36</v>
      </c>
      <c r="L38" s="103">
        <f t="shared" si="0"/>
        <v>35.962000000000003</v>
      </c>
      <c r="M38" s="103">
        <f t="shared" si="1"/>
        <v>42</v>
      </c>
      <c r="N38" s="103">
        <f t="shared" si="2"/>
        <v>32</v>
      </c>
    </row>
    <row r="39" spans="1:14" ht="15">
      <c r="A39" s="28">
        <v>35</v>
      </c>
      <c r="B39" s="19" t="str" cm="1">
        <f t="array" ref="B39">INDEX($J$5:$J$54,$N39)</f>
        <v>St. Louis</v>
      </c>
      <c r="C39" s="21" cm="1">
        <f t="array" ref="C39">INDEX($K$5:$K$54,$N39)</f>
        <v>40</v>
      </c>
      <c r="J39" t="str">
        <f>SummaryHigh!B39</f>
        <v>Portland</v>
      </c>
      <c r="K39" s="103" cm="1">
        <f t="array" ref="K39">INDEX(SummaryHigh!$D$5:$O$54, MATCH(J39, SummaryHigh!$B$5:$B$54, 0), $K$2)</f>
        <v>47</v>
      </c>
      <c r="L39" s="103">
        <f t="shared" si="0"/>
        <v>46.960999999999999</v>
      </c>
      <c r="M39" s="103">
        <f t="shared" si="1"/>
        <v>27</v>
      </c>
      <c r="N39" s="103">
        <f t="shared" si="2"/>
        <v>48</v>
      </c>
    </row>
    <row r="40" spans="1:14" ht="15">
      <c r="A40" s="28">
        <v>36</v>
      </c>
      <c r="B40" s="19" t="str" cm="1">
        <f t="array" ref="B40">INDEX($J$5:$J$54,$N40)</f>
        <v>New York</v>
      </c>
      <c r="C40" s="21" cm="1">
        <f t="array" ref="C40">INDEX($K$5:$K$54,$N40)</f>
        <v>38</v>
      </c>
      <c r="J40" t="str">
        <f>SummaryHigh!B40</f>
        <v>Providence</v>
      </c>
      <c r="K40" s="103" cm="1">
        <f t="array" ref="K40">INDEX(SummaryHigh!$D$5:$O$54, MATCH(J40, SummaryHigh!$B$5:$B$54, 0), $K$2)</f>
        <v>37</v>
      </c>
      <c r="L40" s="103">
        <f t="shared" si="0"/>
        <v>36.96</v>
      </c>
      <c r="M40" s="103">
        <f t="shared" si="1"/>
        <v>38</v>
      </c>
      <c r="N40" s="103">
        <f t="shared" si="2"/>
        <v>29</v>
      </c>
    </row>
    <row r="41" spans="1:14" ht="15">
      <c r="A41" s="28">
        <v>37</v>
      </c>
      <c r="B41" s="19" t="str" cm="1">
        <f t="array" ref="B41">INDEX($J$5:$J$54,$N41)</f>
        <v>Columbus</v>
      </c>
      <c r="C41" s="21" cm="1">
        <f t="array" ref="C41">INDEX($K$5:$K$54,$N41)</f>
        <v>37</v>
      </c>
      <c r="J41" t="str">
        <f>SummaryHigh!B41</f>
        <v>Raleigh</v>
      </c>
      <c r="K41" s="103" cm="1">
        <f t="array" ref="K41">INDEX(SummaryHigh!$D$5:$O$54, MATCH(J41, SummaryHigh!$B$5:$B$54, 0), $K$2)</f>
        <v>51</v>
      </c>
      <c r="L41" s="103">
        <f t="shared" si="0"/>
        <v>50.959000000000003</v>
      </c>
      <c r="M41" s="103">
        <f t="shared" si="1"/>
        <v>21</v>
      </c>
      <c r="N41" s="103">
        <f t="shared" si="2"/>
        <v>11</v>
      </c>
    </row>
    <row r="42" spans="1:14" ht="15">
      <c r="A42" s="28">
        <v>38</v>
      </c>
      <c r="B42" s="19" t="str" cm="1">
        <f t="array" ref="B42">INDEX($J$5:$J$54,$N42)</f>
        <v>Providence</v>
      </c>
      <c r="C42" s="21" cm="1">
        <f t="array" ref="C42">INDEX($K$5:$K$54,$N42)</f>
        <v>37</v>
      </c>
      <c r="J42" t="str">
        <f>SummaryHigh!B42</f>
        <v>Richmond</v>
      </c>
      <c r="K42" s="103" cm="1">
        <f t="array" ref="K42">INDEX(SummaryHigh!$D$5:$O$54, MATCH(J42, SummaryHigh!$B$5:$B$54, 0), $K$2)</f>
        <v>47</v>
      </c>
      <c r="L42" s="103">
        <f t="shared" si="0"/>
        <v>46.957999999999998</v>
      </c>
      <c r="M42" s="103">
        <f t="shared" si="1"/>
        <v>28</v>
      </c>
      <c r="N42" s="103">
        <f t="shared" si="2"/>
        <v>36</v>
      </c>
    </row>
    <row r="43" spans="1:14" ht="15">
      <c r="A43" s="28">
        <v>39</v>
      </c>
      <c r="B43" s="19" t="str" cm="1">
        <f t="array" ref="B43">INDEX($J$5:$J$54,$N43)</f>
        <v>Salt Lake City</v>
      </c>
      <c r="C43" s="21" cm="1">
        <f t="array" ref="C43">INDEX($K$5:$K$54,$N43)</f>
        <v>37</v>
      </c>
      <c r="J43" t="str">
        <f>SummaryHigh!B43</f>
        <v>Riverside</v>
      </c>
      <c r="K43" s="103" cm="1">
        <f t="array" ref="K43">INDEX(SummaryHigh!$D$5:$O$54, MATCH(J43, SummaryHigh!$B$5:$B$54, 0), $K$2)</f>
        <v>69</v>
      </c>
      <c r="L43" s="103">
        <f t="shared" si="0"/>
        <v>68.956999999999994</v>
      </c>
      <c r="M43" s="103">
        <f t="shared" si="1"/>
        <v>5</v>
      </c>
      <c r="N43" s="103">
        <f t="shared" si="2"/>
        <v>42</v>
      </c>
    </row>
    <row r="44" spans="1:14" ht="15">
      <c r="A44" s="28">
        <v>40</v>
      </c>
      <c r="B44" s="19" t="str" cm="1">
        <f t="array" ref="B44">INDEX($J$5:$J$54,$N44)</f>
        <v>Boston</v>
      </c>
      <c r="C44" s="21" cm="1">
        <f t="array" ref="C44">INDEX($K$5:$K$54,$N44)</f>
        <v>36</v>
      </c>
      <c r="J44" t="str">
        <f>SummaryHigh!B44</f>
        <v>Rochester</v>
      </c>
      <c r="K44" s="103" cm="1">
        <f t="array" ref="K44">INDEX(SummaryHigh!$D$5:$O$54, MATCH(J44, SummaryHigh!$B$5:$B$54, 0), $K$2)</f>
        <v>32</v>
      </c>
      <c r="L44" s="103">
        <f t="shared" si="0"/>
        <v>31.956</v>
      </c>
      <c r="M44" s="103">
        <f t="shared" si="1"/>
        <v>46</v>
      </c>
      <c r="N44" s="103">
        <f t="shared" si="2"/>
        <v>5</v>
      </c>
    </row>
    <row r="45" spans="1:14" ht="15">
      <c r="A45" s="28">
        <v>41</v>
      </c>
      <c r="B45" s="19" t="str" cm="1">
        <f t="array" ref="B45">INDEX($J$5:$J$54,$N45)</f>
        <v>Indianapolis</v>
      </c>
      <c r="C45" s="21" cm="1">
        <f t="array" ref="C45">INDEX($K$5:$K$54,$N45)</f>
        <v>36</v>
      </c>
      <c r="J45" t="str">
        <f>SummaryHigh!B45</f>
        <v>Sacramento</v>
      </c>
      <c r="K45" s="103" cm="1">
        <f t="array" ref="K45">INDEX(SummaryHigh!$D$5:$O$54, MATCH(J45, SummaryHigh!$B$5:$B$54, 0), $K$2)</f>
        <v>54</v>
      </c>
      <c r="L45" s="103">
        <f t="shared" si="0"/>
        <v>53.954999999999998</v>
      </c>
      <c r="M45" s="103">
        <f t="shared" si="1"/>
        <v>18</v>
      </c>
      <c r="N45" s="103">
        <f t="shared" si="2"/>
        <v>17</v>
      </c>
    </row>
    <row r="46" spans="1:14" ht="15">
      <c r="A46" s="28">
        <v>42</v>
      </c>
      <c r="B46" s="19" t="str" cm="1">
        <f t="array" ref="B46">INDEX($J$5:$J$54,$N46)</f>
        <v>Pittsburgh</v>
      </c>
      <c r="C46" s="21" cm="1">
        <f t="array" ref="C46">INDEX($K$5:$K$54,$N46)</f>
        <v>36</v>
      </c>
      <c r="J46" t="str">
        <f>SummaryHigh!B46</f>
        <v>Salt Lake City</v>
      </c>
      <c r="K46" s="103" cm="1">
        <f t="array" ref="K46">INDEX(SummaryHigh!$D$5:$O$54, MATCH(J46, SummaryHigh!$B$5:$B$54, 0), $K$2)</f>
        <v>37</v>
      </c>
      <c r="L46" s="103">
        <f t="shared" si="0"/>
        <v>36.954000000000001</v>
      </c>
      <c r="M46" s="103">
        <f t="shared" si="1"/>
        <v>39</v>
      </c>
      <c r="N46" s="103">
        <f t="shared" si="2"/>
        <v>34</v>
      </c>
    </row>
    <row r="47" spans="1:14" ht="15">
      <c r="A47" s="28">
        <v>43</v>
      </c>
      <c r="B47" s="19" t="str" cm="1">
        <f t="array" ref="B47">INDEX($J$5:$J$54,$N47)</f>
        <v>Hartford</v>
      </c>
      <c r="C47" s="21" cm="1">
        <f t="array" ref="C47">INDEX($K$5:$K$54,$N47)</f>
        <v>35</v>
      </c>
      <c r="J47" t="str">
        <f>SummaryHigh!B47</f>
        <v>San Antonio</v>
      </c>
      <c r="K47" s="103" cm="1">
        <f t="array" ref="K47">INDEX(SummaryHigh!$D$5:$O$54, MATCH(J47, SummaryHigh!$B$5:$B$54, 0), $K$2)</f>
        <v>63</v>
      </c>
      <c r="L47" s="103">
        <f t="shared" si="0"/>
        <v>62.953000000000003</v>
      </c>
      <c r="M47" s="103">
        <f t="shared" si="1"/>
        <v>10</v>
      </c>
      <c r="N47" s="103">
        <f t="shared" si="2"/>
        <v>15</v>
      </c>
    </row>
    <row r="48" spans="1:14" ht="15">
      <c r="A48" s="28">
        <v>44</v>
      </c>
      <c r="B48" s="19" t="str" cm="1">
        <f t="array" ref="B48">INDEX($J$5:$J$54,$N48)</f>
        <v>Cleveland</v>
      </c>
      <c r="C48" s="21" cm="1">
        <f t="array" ref="C48">INDEX($K$5:$K$54,$N48)</f>
        <v>34</v>
      </c>
      <c r="J48" t="str">
        <f>SummaryHigh!B48</f>
        <v>San Diego</v>
      </c>
      <c r="K48" s="103" cm="1">
        <f t="array" ref="K48">INDEX(SummaryHigh!$D$5:$O$54, MATCH(J48, SummaryHigh!$B$5:$B$54, 0), $K$2)</f>
        <v>65</v>
      </c>
      <c r="L48" s="103">
        <f t="shared" si="0"/>
        <v>64.951999999999998</v>
      </c>
      <c r="M48" s="103">
        <f t="shared" si="1"/>
        <v>8</v>
      </c>
      <c r="N48" s="103">
        <f t="shared" si="2"/>
        <v>10</v>
      </c>
    </row>
    <row r="49" spans="1:14" ht="15">
      <c r="A49" s="28">
        <v>45</v>
      </c>
      <c r="B49" s="19" t="str" cm="1">
        <f t="array" ref="B49">INDEX($J$5:$J$54,$N49)</f>
        <v>Detroit</v>
      </c>
      <c r="C49" s="21" cm="1">
        <f t="array" ref="C49">INDEX($K$5:$K$54,$N49)</f>
        <v>32</v>
      </c>
      <c r="J49" t="str">
        <f>SummaryHigh!B49</f>
        <v>San Francisco</v>
      </c>
      <c r="K49" s="103" cm="1">
        <f t="array" ref="K49">INDEX(SummaryHigh!$D$5:$O$54, MATCH(J49, SummaryHigh!$B$5:$B$54, 0), $K$2)</f>
        <v>57</v>
      </c>
      <c r="L49" s="103">
        <f t="shared" si="0"/>
        <v>56.951000000000001</v>
      </c>
      <c r="M49" s="103">
        <f t="shared" si="1"/>
        <v>16</v>
      </c>
      <c r="N49" s="103">
        <f t="shared" si="2"/>
        <v>14</v>
      </c>
    </row>
    <row r="50" spans="1:14" ht="15">
      <c r="A50" s="28">
        <v>46</v>
      </c>
      <c r="B50" s="19" t="str" cm="1">
        <f t="array" ref="B50">INDEX($J$5:$J$54,$N50)</f>
        <v>Rochester</v>
      </c>
      <c r="C50" s="21" cm="1">
        <f t="array" ref="C50">INDEX($K$5:$K$54,$N50)</f>
        <v>32</v>
      </c>
      <c r="J50" t="str">
        <f>SummaryHigh!B50</f>
        <v>San Jose</v>
      </c>
      <c r="K50" s="103" cm="1">
        <f t="array" ref="K50">INDEX(SummaryHigh!$D$5:$O$54, MATCH(J50, SummaryHigh!$B$5:$B$54, 0), $K$2)</f>
        <v>58</v>
      </c>
      <c r="L50" s="103">
        <f t="shared" si="0"/>
        <v>57.95</v>
      </c>
      <c r="M50" s="103">
        <f t="shared" si="1"/>
        <v>14</v>
      </c>
      <c r="N50" s="103">
        <f t="shared" si="2"/>
        <v>40</v>
      </c>
    </row>
    <row r="51" spans="1:14" ht="15">
      <c r="A51" s="28">
        <v>47</v>
      </c>
      <c r="B51" s="19" t="str" cm="1">
        <f t="array" ref="B51">INDEX($J$5:$J$54,$N51)</f>
        <v>Buffalo</v>
      </c>
      <c r="C51" s="21" cm="1">
        <f t="array" ref="C51">INDEX($K$5:$K$54,$N51)</f>
        <v>31</v>
      </c>
      <c r="J51" t="str">
        <f>SummaryHigh!B51</f>
        <v>Seattle</v>
      </c>
      <c r="K51" s="103" cm="1">
        <f t="array" ref="K51">INDEX(SummaryHigh!$D$5:$O$54, MATCH(J51, SummaryHigh!$B$5:$B$54, 0), $K$2)</f>
        <v>49</v>
      </c>
      <c r="L51" s="103">
        <f t="shared" si="0"/>
        <v>48.948999999999998</v>
      </c>
      <c r="M51" s="103">
        <f t="shared" si="1"/>
        <v>24</v>
      </c>
      <c r="N51" s="103">
        <f t="shared" si="2"/>
        <v>6</v>
      </c>
    </row>
    <row r="52" spans="1:14" ht="15">
      <c r="A52" s="28">
        <v>48</v>
      </c>
      <c r="B52" s="19" t="str" cm="1">
        <f t="array" ref="B52">INDEX($J$5:$J$54,$N52)</f>
        <v>Chicago</v>
      </c>
      <c r="C52" s="21" cm="1">
        <f t="array" ref="C52">INDEX($K$5:$K$54,$N52)</f>
        <v>31</v>
      </c>
      <c r="J52" t="str">
        <f>SummaryHigh!B52</f>
        <v>St. Louis</v>
      </c>
      <c r="K52" s="103" cm="1">
        <f t="array" ref="K52">INDEX(SummaryHigh!$D$5:$O$54, MATCH(J52, SummaryHigh!$B$5:$B$54, 0), $K$2)</f>
        <v>40</v>
      </c>
      <c r="L52" s="103">
        <f t="shared" si="0"/>
        <v>39.948</v>
      </c>
      <c r="M52" s="103">
        <f t="shared" si="1"/>
        <v>35</v>
      </c>
      <c r="N52" s="103">
        <f t="shared" si="2"/>
        <v>8</v>
      </c>
    </row>
    <row r="53" spans="1:14" ht="15">
      <c r="A53" s="28">
        <v>49</v>
      </c>
      <c r="B53" s="19" t="str" cm="1">
        <f t="array" ref="B53">INDEX($J$5:$J$54,$N53)</f>
        <v>Milwaukee</v>
      </c>
      <c r="C53" s="21" cm="1">
        <f t="array" ref="C53">INDEX($K$5:$K$54,$N53)</f>
        <v>29</v>
      </c>
      <c r="J53" t="str">
        <f>SummaryHigh!B53</f>
        <v>Tampa</v>
      </c>
      <c r="K53" s="103" cm="1">
        <f t="array" ref="K53">INDEX(SummaryHigh!$D$5:$O$54, MATCH(J53, SummaryHigh!$B$5:$B$54, 0), $K$2)</f>
        <v>70</v>
      </c>
      <c r="L53" s="103">
        <f t="shared" si="0"/>
        <v>69.947000000000003</v>
      </c>
      <c r="M53" s="103">
        <f t="shared" si="1"/>
        <v>3</v>
      </c>
      <c r="N53" s="103">
        <f t="shared" si="2"/>
        <v>25</v>
      </c>
    </row>
    <row r="54" spans="1:14" ht="15">
      <c r="A54" s="29">
        <v>50</v>
      </c>
      <c r="B54" s="19" t="str" cm="1">
        <f t="array" ref="B54">INDEX($J$5:$J$54,$N54)</f>
        <v>Minneapolis</v>
      </c>
      <c r="C54" s="21" cm="1">
        <f t="array" ref="C54">INDEX($K$5:$K$54,$N54)</f>
        <v>24</v>
      </c>
      <c r="J54" t="str">
        <f>SummaryHigh!B54</f>
        <v>Virginia Beach</v>
      </c>
      <c r="K54" s="103" cm="1">
        <f t="array" ref="K54">INDEX(SummaryHigh!$D$5:$O$54, MATCH(J54, SummaryHigh!$B$5:$B$54, 0), $K$2)</f>
        <v>48</v>
      </c>
      <c r="L54" s="103">
        <f t="shared" si="0"/>
        <v>47.945999999999998</v>
      </c>
      <c r="M54" s="103">
        <f t="shared" si="1"/>
        <v>25</v>
      </c>
      <c r="N54" s="103">
        <f t="shared" si="2"/>
        <v>26</v>
      </c>
    </row>
    <row r="55" spans="1:14" ht="15"/>
    <row r="56" spans="1:14">
      <c r="A56" s="30" t="s">
        <v>640</v>
      </c>
      <c r="B56" s="31">
        <f>CheckSumSortCity</f>
        <v>382116</v>
      </c>
      <c r="C56" s="31">
        <f>CheckSumSortTemp</f>
        <v>203895</v>
      </c>
    </row>
  </sheetData>
  <sortState xmlns:xlrd2="http://schemas.microsoft.com/office/spreadsheetml/2017/richdata2" ref="B5:C54">
    <sortCondition descending="1" ref="C5:C54"/>
    <sortCondition ref="B5:B54"/>
  </sortState>
  <dataValidations count="1">
    <dataValidation type="list" allowBlank="1" showInputMessage="1" showErrorMessage="1" sqref="C3" xr:uid="{BB46FA5B-FA0D-4131-AE68-832033EFCA84}">
      <formula1>ListsMonthShort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3B20-6FF4-4673-97C5-7E7B75955F5B}">
  <sheetPr codeName="Sheet12">
    <tabColor rgb="FF000099"/>
  </sheetPr>
  <dimension ref="A1"/>
  <sheetViews>
    <sheetView workbookViewId="0"/>
  </sheetViews>
  <sheetFormatPr defaultColWidth="0" defaultRowHeight="15" customHeight="1" zeroHeight="1"/>
  <cols>
    <col min="1" max="1" width="25.85546875" customWidth="1"/>
    <col min="2" max="16384" width="9.140625" hidden="1"/>
  </cols>
  <sheetData>
    <row r="1" spans="1:1" ht="81" customHeight="1">
      <c r="A1" s="38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CAAD-FAD9-4964-8975-9F05772E7611}">
  <sheetPr>
    <tabColor rgb="FFCCFFCC"/>
  </sheetPr>
  <dimension ref="A2:X88"/>
  <sheetViews>
    <sheetView showGridLines="0" tabSelected="1" topLeftCell="A63" workbookViewId="0">
      <selection activeCell="H73" sqref="H73"/>
    </sheetView>
  </sheetViews>
  <sheetFormatPr defaultRowHeight="14.65"/>
  <cols>
    <col min="2" max="2" width="9.140625" customWidth="1"/>
    <col min="3" max="7" width="15.7109375" customWidth="1"/>
  </cols>
  <sheetData>
    <row r="2" spans="1:15">
      <c r="A2" s="2"/>
      <c r="B2" s="2" t="s">
        <v>654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>
      <c r="B4" t="s">
        <v>655</v>
      </c>
    </row>
    <row r="5" spans="1:15">
      <c r="B5" t="s">
        <v>656</v>
      </c>
    </row>
    <row r="6" spans="1:15">
      <c r="B6" t="s">
        <v>657</v>
      </c>
    </row>
    <row r="8" spans="1:15">
      <c r="B8" s="76" t="s">
        <v>658</v>
      </c>
    </row>
    <row r="9" spans="1:15">
      <c r="B9" t="s">
        <v>659</v>
      </c>
    </row>
    <row r="10" spans="1:15">
      <c r="B10" s="75">
        <v>0.05</v>
      </c>
    </row>
    <row r="11" spans="1:15">
      <c r="B11" s="75">
        <v>5.5E-2</v>
      </c>
    </row>
    <row r="12" spans="1:15">
      <c r="B12" s="75">
        <v>0.06</v>
      </c>
    </row>
    <row r="13" spans="1:15">
      <c r="B13" s="75">
        <v>6.5000000000000002E-2</v>
      </c>
    </row>
    <row r="14" spans="1:15">
      <c r="B14" s="75">
        <v>7.0000000000000007E-2</v>
      </c>
    </row>
    <row r="15" spans="1:15">
      <c r="B15" s="75">
        <v>7.5000000000000011E-2</v>
      </c>
    </row>
    <row r="16" spans="1:15">
      <c r="B16" t="s">
        <v>660</v>
      </c>
    </row>
    <row r="18" spans="2:2">
      <c r="B18" s="76" t="s">
        <v>661</v>
      </c>
    </row>
    <row r="19" spans="2:2">
      <c r="B19" t="s">
        <v>662</v>
      </c>
    </row>
    <row r="20" spans="2:2">
      <c r="B20" s="77">
        <v>4</v>
      </c>
    </row>
    <row r="21" spans="2:2">
      <c r="B21" s="77">
        <v>5</v>
      </c>
    </row>
    <row r="22" spans="2:2">
      <c r="B22" s="77">
        <v>6</v>
      </c>
    </row>
    <row r="23" spans="2:2">
      <c r="B23" s="77">
        <v>7</v>
      </c>
    </row>
    <row r="24" spans="2:2">
      <c r="B24" s="77">
        <v>8</v>
      </c>
    </row>
    <row r="26" spans="2:2">
      <c r="B26" s="76" t="s">
        <v>663</v>
      </c>
    </row>
    <row r="27" spans="2:2">
      <c r="B27" t="s">
        <v>664</v>
      </c>
    </row>
    <row r="28" spans="2:2">
      <c r="B28" t="s">
        <v>665</v>
      </c>
    </row>
    <row r="29" spans="2:2">
      <c r="B29" s="77">
        <v>1500</v>
      </c>
    </row>
    <row r="30" spans="2:2">
      <c r="B30" s="77">
        <v>1800</v>
      </c>
    </row>
    <row r="31" spans="2:2">
      <c r="B31" s="77">
        <v>2200</v>
      </c>
    </row>
    <row r="32" spans="2:2">
      <c r="B32" s="77">
        <v>2700</v>
      </c>
    </row>
    <row r="34" spans="1:24">
      <c r="B34" s="76" t="s">
        <v>666</v>
      </c>
    </row>
    <row r="35" spans="1:24">
      <c r="B35" t="s">
        <v>667</v>
      </c>
    </row>
    <row r="36" spans="1:24">
      <c r="B36" t="s">
        <v>668</v>
      </c>
    </row>
    <row r="37" spans="1:24">
      <c r="B37" t="s">
        <v>669</v>
      </c>
    </row>
    <row r="38" spans="1:24">
      <c r="B38" t="s">
        <v>670</v>
      </c>
    </row>
    <row r="40" spans="1:24">
      <c r="B40" s="1" t="s">
        <v>671</v>
      </c>
    </row>
    <row r="42" spans="1:24">
      <c r="A42" s="2"/>
      <c r="B42" s="2" t="s">
        <v>672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4" spans="1:24">
      <c r="B44" t="s">
        <v>673</v>
      </c>
    </row>
    <row r="45" spans="1:24">
      <c r="B45" t="s">
        <v>674</v>
      </c>
    </row>
    <row r="47" spans="1:24">
      <c r="B47" s="1" t="s">
        <v>675</v>
      </c>
    </row>
    <row r="48" spans="1:24">
      <c r="B48" t="s">
        <v>676</v>
      </c>
    </row>
    <row r="49" spans="2:24">
      <c r="B49" t="s">
        <v>677</v>
      </c>
    </row>
    <row r="50" spans="2:24">
      <c r="B50" t="s">
        <v>678</v>
      </c>
    </row>
    <row r="52" spans="2:24">
      <c r="I52" s="1" t="s">
        <v>679</v>
      </c>
    </row>
    <row r="53" spans="2:24" ht="29.1">
      <c r="B53" s="83" t="s">
        <v>680</v>
      </c>
      <c r="C53" s="84" t="s">
        <v>658</v>
      </c>
      <c r="D53" s="85" t="s">
        <v>661</v>
      </c>
      <c r="E53" s="85" t="s">
        <v>663</v>
      </c>
      <c r="F53" s="85" t="s">
        <v>666</v>
      </c>
      <c r="G53" s="86" t="s">
        <v>681</v>
      </c>
      <c r="I53" s="32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4"/>
    </row>
    <row r="54" spans="2:24" ht="15">
      <c r="B54" s="25">
        <v>1</v>
      </c>
      <c r="C54" s="79">
        <v>6.5000000000000002E-2</v>
      </c>
      <c r="D54" s="78">
        <v>4</v>
      </c>
      <c r="E54" s="78">
        <v>1500</v>
      </c>
      <c r="F54" s="95">
        <f ca="1">INDEX(
INDIRECT("'Rate_"&amp;TEXT(C54*10000,"0")&amp;"'!$C$3:$G$6"),
MATCH(E54,INDIRECT("'Rate_"&amp;TEXT(C54*10000,"0")&amp;"'!$B$3:$B$6"),0),
MATCH(D54,INDIRECT("'Rate_"&amp;TEXT(C54*10000,"0")&amp;"'!$C$2:$G$2"),0)
)</f>
        <v>5100</v>
      </c>
      <c r="G54" s="96">
        <f ca="1">-FV(C54,D54,-E54,-F54,0)</f>
        <v>-13171.74032568749</v>
      </c>
      <c r="I54" s="87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88"/>
    </row>
    <row r="55" spans="2:24" ht="15">
      <c r="B55" s="25">
        <f t="shared" ref="B55:B70" si="0">B54+1</f>
        <v>2</v>
      </c>
      <c r="C55" s="80">
        <v>0.05</v>
      </c>
      <c r="D55" s="77">
        <v>6</v>
      </c>
      <c r="E55" s="77">
        <v>1800</v>
      </c>
      <c r="F55" s="95">
        <f t="shared" ref="F55:F83" ca="1" si="1">INDEX(
INDIRECT("'Rate_"&amp;TEXT(C55*10000,"0")&amp;"'!$C$3:$G$6"),
MATCH(E55,INDIRECT("'Rate_"&amp;TEXT(C55*10000,"0")&amp;"'!$B$3:$B$6"),0),
MATCH(D55,INDIRECT("'Rate_"&amp;TEXT(C55*10000,"0")&amp;"'!$C$2:$G$2"),0)
)</f>
        <v>7990</v>
      </c>
      <c r="G55" s="96">
        <f t="shared" ref="G55:G83" ca="1" si="2">-FV(C55,D55,-E55,-F55,0)</f>
        <v>-22950.80723109375</v>
      </c>
      <c r="I55" s="89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1"/>
    </row>
    <row r="56" spans="2:24" ht="15">
      <c r="B56" s="25">
        <f t="shared" si="0"/>
        <v>3</v>
      </c>
      <c r="C56" s="80">
        <v>0.05</v>
      </c>
      <c r="D56" s="77">
        <v>7</v>
      </c>
      <c r="E56" s="77">
        <v>1500</v>
      </c>
      <c r="F56" s="95">
        <f t="shared" ca="1" si="1"/>
        <v>5940</v>
      </c>
      <c r="G56" s="96">
        <f t="shared" ca="1" si="2"/>
        <v>-20571.189190265635</v>
      </c>
      <c r="I56" s="89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1"/>
    </row>
    <row r="57" spans="2:24" ht="15">
      <c r="B57" s="25">
        <f t="shared" si="0"/>
        <v>4</v>
      </c>
      <c r="C57" s="80">
        <v>7.5000000000000011E-2</v>
      </c>
      <c r="D57" s="77">
        <v>7</v>
      </c>
      <c r="E57" s="77">
        <v>2200</v>
      </c>
      <c r="F57" s="95">
        <f t="shared" ca="1" si="1"/>
        <v>6430</v>
      </c>
      <c r="G57" s="96">
        <f t="shared" ca="1" si="2"/>
        <v>-29999.794078918509</v>
      </c>
      <c r="I57" s="89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1"/>
    </row>
    <row r="58" spans="2:24" ht="15">
      <c r="B58" s="25">
        <f t="shared" si="0"/>
        <v>5</v>
      </c>
      <c r="C58" s="80">
        <v>5.5E-2</v>
      </c>
      <c r="D58" s="77">
        <v>6</v>
      </c>
      <c r="E58" s="77">
        <v>2200</v>
      </c>
      <c r="F58" s="95">
        <f t="shared" ca="1" si="1"/>
        <v>7600</v>
      </c>
      <c r="G58" s="96">
        <f t="shared" ca="1" si="2"/>
        <v>-25632.917601865978</v>
      </c>
      <c r="I58" s="89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1"/>
    </row>
    <row r="59" spans="2:24" ht="15">
      <c r="B59" s="25">
        <f t="shared" si="0"/>
        <v>6</v>
      </c>
      <c r="C59" s="80">
        <v>0.06</v>
      </c>
      <c r="D59" s="77">
        <v>7</v>
      </c>
      <c r="E59" s="77">
        <v>1500</v>
      </c>
      <c r="F59" s="95">
        <f t="shared" ca="1" si="1"/>
        <v>5650</v>
      </c>
      <c r="G59" s="96">
        <f t="shared" ca="1" si="2"/>
        <v>-21086.267438085211</v>
      </c>
      <c r="I59" s="89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1"/>
    </row>
    <row r="60" spans="2:24" ht="15">
      <c r="B60" s="25">
        <f t="shared" si="0"/>
        <v>7</v>
      </c>
      <c r="C60" s="80">
        <v>7.0000000000000007E-2</v>
      </c>
      <c r="D60" s="77">
        <v>6</v>
      </c>
      <c r="E60" s="77">
        <v>2700</v>
      </c>
      <c r="F60" s="95">
        <f t="shared" ca="1" si="1"/>
        <v>6330</v>
      </c>
      <c r="G60" s="96">
        <f t="shared" ca="1" si="2"/>
        <v>-28813.50812709417</v>
      </c>
      <c r="I60" s="89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1"/>
    </row>
    <row r="61" spans="2:24" ht="15">
      <c r="B61" s="25">
        <f t="shared" si="0"/>
        <v>8</v>
      </c>
      <c r="C61" s="80">
        <v>5.5E-2</v>
      </c>
      <c r="D61" s="77">
        <v>5</v>
      </c>
      <c r="E61" s="77">
        <v>1800</v>
      </c>
      <c r="F61" s="95">
        <f t="shared" ca="1" si="1"/>
        <v>6720</v>
      </c>
      <c r="G61" s="96">
        <f t="shared" ca="1" si="2"/>
        <v>-18828.735089195987</v>
      </c>
      <c r="I61" s="89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1"/>
    </row>
    <row r="62" spans="2:24" ht="15">
      <c r="B62" s="25">
        <f t="shared" si="0"/>
        <v>9</v>
      </c>
      <c r="C62" s="80">
        <v>6.5000000000000002E-2</v>
      </c>
      <c r="D62" s="77">
        <v>4</v>
      </c>
      <c r="E62" s="77">
        <v>1800</v>
      </c>
      <c r="F62" s="95">
        <f t="shared" ca="1" si="1"/>
        <v>6280</v>
      </c>
      <c r="G62" s="96">
        <f t="shared" ca="1" si="2"/>
        <v>-16011.923006924986</v>
      </c>
      <c r="I62" s="89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1"/>
    </row>
    <row r="63" spans="2:24" ht="15">
      <c r="B63" s="25">
        <f t="shared" si="0"/>
        <v>10</v>
      </c>
      <c r="C63" s="80">
        <v>0.06</v>
      </c>
      <c r="D63" s="77">
        <v>5</v>
      </c>
      <c r="E63" s="77">
        <v>1800</v>
      </c>
      <c r="F63" s="95">
        <f t="shared" ca="1" si="1"/>
        <v>6200</v>
      </c>
      <c r="G63" s="96">
        <f t="shared" ca="1" si="2"/>
        <v>-18443.765909120018</v>
      </c>
      <c r="I63" s="89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1"/>
    </row>
    <row r="64" spans="2:24" ht="15">
      <c r="B64" s="25">
        <f t="shared" si="0"/>
        <v>11</v>
      </c>
      <c r="C64" s="80">
        <v>0.06</v>
      </c>
      <c r="D64" s="77">
        <v>4</v>
      </c>
      <c r="E64" s="77">
        <v>1500</v>
      </c>
      <c r="F64" s="95">
        <f t="shared" ca="1" si="1"/>
        <v>5260</v>
      </c>
      <c r="G64" s="96">
        <f t="shared" ca="1" si="2"/>
        <v>-13202.552809600011</v>
      </c>
      <c r="I64" s="89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1"/>
    </row>
    <row r="65" spans="2:24" ht="15">
      <c r="B65" s="25">
        <f t="shared" si="0"/>
        <v>12</v>
      </c>
      <c r="C65" s="80">
        <v>6.5000000000000002E-2</v>
      </c>
      <c r="D65" s="77">
        <v>4</v>
      </c>
      <c r="E65" s="77">
        <v>2200</v>
      </c>
      <c r="F65" s="95">
        <f t="shared" ca="1" si="1"/>
        <v>7240</v>
      </c>
      <c r="G65" s="96">
        <f t="shared" ca="1" si="2"/>
        <v>-19009.800553524983</v>
      </c>
      <c r="I65" s="89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1"/>
    </row>
    <row r="66" spans="2:24" ht="15">
      <c r="B66" s="25">
        <f t="shared" si="0"/>
        <v>13</v>
      </c>
      <c r="C66" s="80">
        <v>7.0000000000000007E-2</v>
      </c>
      <c r="D66" s="77">
        <v>6</v>
      </c>
      <c r="E66" s="77">
        <v>2200</v>
      </c>
      <c r="F66" s="95">
        <f t="shared" ca="1" si="1"/>
        <v>5130</v>
      </c>
      <c r="G66" s="96">
        <f t="shared" ca="1" si="2"/>
        <v>-23435.986334525369</v>
      </c>
      <c r="I66" s="89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1"/>
    </row>
    <row r="67" spans="2:24" ht="15">
      <c r="B67" s="25">
        <f t="shared" si="0"/>
        <v>14</v>
      </c>
      <c r="C67" s="80">
        <v>0.06</v>
      </c>
      <c r="D67" s="77">
        <v>7</v>
      </c>
      <c r="E67" s="77">
        <v>2200</v>
      </c>
      <c r="F67" s="95">
        <f t="shared" ca="1" si="1"/>
        <v>5920</v>
      </c>
      <c r="G67" s="96">
        <f t="shared" ca="1" si="2"/>
        <v>-27367.933962912088</v>
      </c>
      <c r="I67" s="89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1"/>
    </row>
    <row r="68" spans="2:24" ht="15">
      <c r="B68" s="25">
        <f t="shared" si="0"/>
        <v>15</v>
      </c>
      <c r="C68" s="80">
        <v>6.5000000000000002E-2</v>
      </c>
      <c r="D68" s="77">
        <v>8</v>
      </c>
      <c r="E68" s="77">
        <v>2700</v>
      </c>
      <c r="F68" s="95">
        <f t="shared" ca="1" si="1"/>
        <v>6870</v>
      </c>
      <c r="G68" s="96">
        <f t="shared" ca="1" si="2"/>
        <v>-38577.332761520331</v>
      </c>
      <c r="I68" s="89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1"/>
    </row>
    <row r="69" spans="2:24" ht="15">
      <c r="B69" s="25">
        <f t="shared" si="0"/>
        <v>16</v>
      </c>
      <c r="C69" s="80">
        <v>7.5000000000000011E-2</v>
      </c>
      <c r="D69" s="77">
        <v>8</v>
      </c>
      <c r="E69" s="77">
        <v>1800</v>
      </c>
      <c r="F69" s="95">
        <f t="shared" ca="1" si="1"/>
        <v>6120</v>
      </c>
      <c r="G69" s="96">
        <f t="shared" ca="1" si="2"/>
        <v>-29718.352105917667</v>
      </c>
      <c r="I69" s="89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1"/>
    </row>
    <row r="70" spans="2:24" ht="15">
      <c r="B70" s="25">
        <f t="shared" si="0"/>
        <v>17</v>
      </c>
      <c r="C70" s="80">
        <v>0.06</v>
      </c>
      <c r="D70" s="77">
        <v>6</v>
      </c>
      <c r="E70" s="77">
        <v>2700</v>
      </c>
      <c r="F70" s="95">
        <f t="shared" ca="1" si="1"/>
        <v>7440</v>
      </c>
      <c r="G70" s="96">
        <f t="shared" ca="1" si="2"/>
        <v>-29387.142246704672</v>
      </c>
      <c r="I70" s="89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1"/>
    </row>
    <row r="71" spans="2:24" ht="15">
      <c r="B71" s="25">
        <f t="shared" ref="B71:B73" si="3">B70+1</f>
        <v>18</v>
      </c>
      <c r="C71" s="80">
        <v>0.06</v>
      </c>
      <c r="D71" s="77">
        <v>6</v>
      </c>
      <c r="E71" s="77">
        <v>1800</v>
      </c>
      <c r="F71" s="95">
        <f t="shared" ca="1" si="1"/>
        <v>5820</v>
      </c>
      <c r="G71" s="96">
        <f t="shared" ca="1" si="2"/>
        <v>-20811.354601009938</v>
      </c>
      <c r="I71" s="89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1"/>
    </row>
    <row r="72" spans="2:24" ht="15">
      <c r="B72" s="25">
        <f t="shared" si="3"/>
        <v>19</v>
      </c>
      <c r="C72" s="80">
        <v>0.06</v>
      </c>
      <c r="D72" s="77">
        <v>8</v>
      </c>
      <c r="E72" s="77">
        <v>1500</v>
      </c>
      <c r="F72" s="95">
        <f t="shared" ca="1" si="1"/>
        <v>6970</v>
      </c>
      <c r="G72" s="96">
        <f t="shared" ca="1" si="2"/>
        <v>-25955.32294275103</v>
      </c>
      <c r="I72" s="89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1"/>
    </row>
    <row r="73" spans="2:24" ht="15">
      <c r="B73" s="25">
        <f t="shared" si="3"/>
        <v>20</v>
      </c>
      <c r="C73" s="80">
        <v>6.5000000000000002E-2</v>
      </c>
      <c r="D73" s="77">
        <v>7</v>
      </c>
      <c r="E73" s="77">
        <v>1500</v>
      </c>
      <c r="F73" s="95">
        <f t="shared" ca="1" si="1"/>
        <v>6410</v>
      </c>
      <c r="G73" s="96">
        <f t="shared" ca="1" si="2"/>
        <v>-22745.358662026054</v>
      </c>
      <c r="I73" s="89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1"/>
    </row>
    <row r="74" spans="2:24" ht="15">
      <c r="B74" s="25">
        <f t="shared" ref="B74:B81" si="4">B73+1</f>
        <v>21</v>
      </c>
      <c r="C74" s="80">
        <v>6.5000000000000002E-2</v>
      </c>
      <c r="D74" s="77">
        <v>7</v>
      </c>
      <c r="E74" s="77">
        <v>1800</v>
      </c>
      <c r="F74" s="95">
        <f t="shared" ca="1" si="1"/>
        <v>6740</v>
      </c>
      <c r="G74" s="96">
        <f t="shared" ca="1" si="2"/>
        <v>-25815.035202817686</v>
      </c>
      <c r="I74" s="89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1"/>
    </row>
    <row r="75" spans="2:24" ht="15">
      <c r="B75" s="25">
        <f t="shared" si="4"/>
        <v>22</v>
      </c>
      <c r="C75" s="80">
        <v>7.0000000000000007E-2</v>
      </c>
      <c r="D75" s="77">
        <v>4</v>
      </c>
      <c r="E75" s="77">
        <v>2700</v>
      </c>
      <c r="F75" s="95">
        <f t="shared" ca="1" si="1"/>
        <v>6550</v>
      </c>
      <c r="G75" s="96">
        <f t="shared" ca="1" si="2"/>
        <v>-20573.559965499997</v>
      </c>
      <c r="I75" s="89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1"/>
    </row>
    <row r="76" spans="2:24" ht="15">
      <c r="B76" s="25">
        <f t="shared" si="4"/>
        <v>23</v>
      </c>
      <c r="C76" s="80">
        <v>5.5E-2</v>
      </c>
      <c r="D76" s="77">
        <v>6</v>
      </c>
      <c r="E76" s="77">
        <v>2700</v>
      </c>
      <c r="F76" s="95">
        <f t="shared" ca="1" si="1"/>
        <v>6400</v>
      </c>
      <c r="G76" s="96">
        <f t="shared" ca="1" si="2"/>
        <v>-27422.331749768891</v>
      </c>
      <c r="I76" s="89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1"/>
    </row>
    <row r="77" spans="2:24" ht="15">
      <c r="B77" s="25">
        <f t="shared" si="4"/>
        <v>24</v>
      </c>
      <c r="C77" s="80">
        <v>5.5E-2</v>
      </c>
      <c r="D77" s="77">
        <v>5</v>
      </c>
      <c r="E77" s="77">
        <v>2200</v>
      </c>
      <c r="F77" s="95">
        <f t="shared" ca="1" si="1"/>
        <v>7930</v>
      </c>
      <c r="G77" s="96">
        <f t="shared" ca="1" si="2"/>
        <v>-22642.593107201326</v>
      </c>
      <c r="I77" s="89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1"/>
    </row>
    <row r="78" spans="2:24" ht="15">
      <c r="B78" s="25">
        <f t="shared" si="4"/>
        <v>25</v>
      </c>
      <c r="C78" s="80">
        <v>7.5000000000000011E-2</v>
      </c>
      <c r="D78" s="77">
        <v>8</v>
      </c>
      <c r="E78" s="77">
        <v>2700</v>
      </c>
      <c r="F78" s="95">
        <f t="shared" ca="1" si="1"/>
        <v>6560</v>
      </c>
      <c r="G78" s="96">
        <f t="shared" ca="1" si="2"/>
        <v>-39904.816255904909</v>
      </c>
      <c r="I78" s="89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1"/>
    </row>
    <row r="79" spans="2:24" ht="15">
      <c r="B79" s="25">
        <f t="shared" si="4"/>
        <v>26</v>
      </c>
      <c r="C79" s="80">
        <v>0.06</v>
      </c>
      <c r="D79" s="77">
        <v>6</v>
      </c>
      <c r="E79" s="77">
        <v>2200</v>
      </c>
      <c r="F79" s="95">
        <f t="shared" ca="1" si="1"/>
        <v>6980</v>
      </c>
      <c r="G79" s="96">
        <f t="shared" ca="1" si="2"/>
        <v>-25246.964186266905</v>
      </c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1"/>
    </row>
    <row r="80" spans="2:24" ht="15">
      <c r="B80" s="25">
        <f t="shared" si="4"/>
        <v>27</v>
      </c>
      <c r="C80" s="80">
        <v>7.5000000000000011E-2</v>
      </c>
      <c r="D80" s="77">
        <v>7</v>
      </c>
      <c r="E80" s="77">
        <v>1800</v>
      </c>
      <c r="F80" s="95">
        <f t="shared" ca="1" si="1"/>
        <v>5500</v>
      </c>
      <c r="G80" s="96">
        <f t="shared" ca="1" si="2"/>
        <v>-24941.949631692496</v>
      </c>
      <c r="I80" s="89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1"/>
    </row>
    <row r="81" spans="1:24" ht="15">
      <c r="B81" s="25">
        <f t="shared" si="4"/>
        <v>28</v>
      </c>
      <c r="C81" s="80">
        <v>7.5000000000000011E-2</v>
      </c>
      <c r="D81" s="77">
        <v>4</v>
      </c>
      <c r="E81" s="77">
        <v>2200</v>
      </c>
      <c r="F81" s="95">
        <f t="shared" ca="1" si="1"/>
        <v>7420</v>
      </c>
      <c r="G81" s="96">
        <f t="shared" ca="1" si="2"/>
        <v>-19749.609148437496</v>
      </c>
      <c r="I81" s="89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1"/>
    </row>
    <row r="82" spans="1:24" ht="15">
      <c r="B82" s="25">
        <f t="shared" ref="B82:B83" si="5">B81+1</f>
        <v>29</v>
      </c>
      <c r="C82" s="80">
        <v>0.05</v>
      </c>
      <c r="D82" s="77">
        <v>5</v>
      </c>
      <c r="E82" s="77">
        <v>1500</v>
      </c>
      <c r="F82" s="95">
        <f t="shared" ca="1" si="1"/>
        <v>7840</v>
      </c>
      <c r="G82" s="96">
        <f t="shared" ca="1" si="2"/>
        <v>-18294.494325000007</v>
      </c>
      <c r="I82" s="89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1"/>
    </row>
    <row r="83" spans="1:24" ht="15">
      <c r="B83" s="26">
        <f t="shared" si="5"/>
        <v>30</v>
      </c>
      <c r="C83" s="81">
        <v>6.5000000000000002E-2</v>
      </c>
      <c r="D83" s="82">
        <v>5</v>
      </c>
      <c r="E83" s="82">
        <v>2200</v>
      </c>
      <c r="F83" s="95">
        <f t="shared" ca="1" si="1"/>
        <v>7490</v>
      </c>
      <c r="G83" s="96">
        <f t="shared" ca="1" si="2"/>
        <v>-22787.959255358015</v>
      </c>
      <c r="I83" s="92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4"/>
    </row>
    <row r="84" spans="1:24" ht="15">
      <c r="F84" s="74"/>
      <c r="G84" s="74"/>
    </row>
    <row r="85" spans="1:24">
      <c r="E85" t="s">
        <v>640</v>
      </c>
      <c r="F85" s="97">
        <f ca="1">SUM(F54:F83)</f>
        <v>196830</v>
      </c>
      <c r="G85" s="97">
        <f ca="1">SUM(G54:G83)</f>
        <v>-713101.09780669142</v>
      </c>
    </row>
    <row r="88" spans="1:24">
      <c r="A88" s="2"/>
      <c r="B88" s="2" t="s">
        <v>682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CC9F-8BD5-4253-88AC-C56A863200B1}">
  <sheetPr>
    <tabColor rgb="FFCCECFF"/>
  </sheetPr>
  <dimension ref="A1:G13"/>
  <sheetViews>
    <sheetView showGridLines="0" workbookViewId="0">
      <selection activeCell="E4" sqref="E4"/>
    </sheetView>
  </sheetViews>
  <sheetFormatPr defaultRowHeight="14.65"/>
  <cols>
    <col min="1" max="1" width="13.28515625" customWidth="1"/>
    <col min="2" max="7" width="12.7109375" customWidth="1"/>
  </cols>
  <sheetData>
    <row r="1" spans="1:7">
      <c r="A1" s="73">
        <v>0.05</v>
      </c>
      <c r="B1" s="66" t="s">
        <v>683</v>
      </c>
      <c r="C1" s="52" t="s">
        <v>684</v>
      </c>
      <c r="D1" s="53"/>
      <c r="E1" s="53"/>
      <c r="F1" s="53"/>
      <c r="G1" s="54"/>
    </row>
    <row r="2" spans="1:7">
      <c r="A2" s="67"/>
      <c r="B2" s="49" t="s">
        <v>685</v>
      </c>
      <c r="C2" s="55">
        <v>4</v>
      </c>
      <c r="D2" s="56">
        <v>5</v>
      </c>
      <c r="E2" s="56">
        <v>6</v>
      </c>
      <c r="F2" s="56">
        <v>7</v>
      </c>
      <c r="G2" s="57">
        <v>8</v>
      </c>
    </row>
    <row r="3" spans="1:7">
      <c r="A3" s="60" t="s">
        <v>686</v>
      </c>
      <c r="B3" s="61">
        <v>1500</v>
      </c>
      <c r="C3" s="58">
        <v>5530</v>
      </c>
      <c r="D3" s="51">
        <v>7840</v>
      </c>
      <c r="E3" s="51">
        <v>7440</v>
      </c>
      <c r="F3" s="51">
        <v>5940</v>
      </c>
      <c r="G3" s="68">
        <v>7510</v>
      </c>
    </row>
    <row r="4" spans="1:7">
      <c r="A4" s="62" t="s">
        <v>687</v>
      </c>
      <c r="B4" s="63">
        <v>1800</v>
      </c>
      <c r="C4" s="59">
        <v>5850</v>
      </c>
      <c r="D4" s="50">
        <v>6160</v>
      </c>
      <c r="E4" s="50">
        <v>7990</v>
      </c>
      <c r="F4" s="50">
        <v>7300</v>
      </c>
      <c r="G4" s="69">
        <v>7110</v>
      </c>
    </row>
    <row r="5" spans="1:7">
      <c r="A5" s="62" t="s">
        <v>688</v>
      </c>
      <c r="B5" s="63">
        <v>2200</v>
      </c>
      <c r="C5" s="59">
        <v>5270</v>
      </c>
      <c r="D5" s="50">
        <v>7900</v>
      </c>
      <c r="E5" s="50">
        <v>6250</v>
      </c>
      <c r="F5" s="50">
        <v>5750</v>
      </c>
      <c r="G5" s="69">
        <v>6070</v>
      </c>
    </row>
    <row r="6" spans="1:7">
      <c r="A6" s="64" t="s">
        <v>689</v>
      </c>
      <c r="B6" s="65">
        <v>2700</v>
      </c>
      <c r="C6" s="70">
        <v>6950</v>
      </c>
      <c r="D6" s="71">
        <v>5860</v>
      </c>
      <c r="E6" s="71">
        <v>7420</v>
      </c>
      <c r="F6" s="71">
        <v>7930</v>
      </c>
      <c r="G6" s="72">
        <v>6170</v>
      </c>
    </row>
    <row r="8" spans="1:7">
      <c r="C8" s="74"/>
      <c r="D8" s="74"/>
      <c r="E8" s="74"/>
      <c r="F8" s="74"/>
      <c r="G8" s="74"/>
    </row>
    <row r="9" spans="1:7">
      <c r="C9" s="74"/>
      <c r="D9" s="74"/>
      <c r="E9" s="74"/>
      <c r="F9" s="74"/>
      <c r="G9" s="74"/>
    </row>
    <row r="10" spans="1:7">
      <c r="C10" s="48"/>
      <c r="D10" s="48"/>
      <c r="E10" s="48"/>
      <c r="F10" s="48"/>
      <c r="G10" s="48"/>
    </row>
    <row r="11" spans="1:7">
      <c r="C11" s="48"/>
      <c r="D11" s="48"/>
      <c r="E11" s="48"/>
      <c r="F11" s="48"/>
      <c r="G11" s="48"/>
    </row>
    <row r="12" spans="1:7">
      <c r="C12" s="48"/>
      <c r="D12" s="48"/>
      <c r="E12" s="48"/>
      <c r="F12" s="48"/>
      <c r="G12" s="48"/>
    </row>
    <row r="13" spans="1:7">
      <c r="C13" s="48"/>
      <c r="D13" s="48"/>
      <c r="E13" s="48"/>
      <c r="F13" s="48"/>
      <c r="G13" s="4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46D2-C44B-4A78-B979-F9EC35A6BB2C}">
  <sheetPr>
    <tabColor rgb="FFCCECFF"/>
  </sheetPr>
  <dimension ref="A1:G13"/>
  <sheetViews>
    <sheetView showGridLines="0" workbookViewId="0">
      <selection activeCell="E5" sqref="E5"/>
    </sheetView>
  </sheetViews>
  <sheetFormatPr defaultRowHeight="14.65"/>
  <cols>
    <col min="1" max="1" width="13.28515625" customWidth="1"/>
    <col min="2" max="7" width="12.7109375" customWidth="1"/>
  </cols>
  <sheetData>
    <row r="1" spans="1:7">
      <c r="A1" s="73">
        <v>5.5E-2</v>
      </c>
      <c r="B1" s="66" t="s">
        <v>683</v>
      </c>
      <c r="C1" s="52" t="s">
        <v>684</v>
      </c>
      <c r="D1" s="53"/>
      <c r="E1" s="53"/>
      <c r="F1" s="53"/>
      <c r="G1" s="54"/>
    </row>
    <row r="2" spans="1:7">
      <c r="A2" s="67"/>
      <c r="B2" s="49" t="s">
        <v>685</v>
      </c>
      <c r="C2" s="55">
        <v>4</v>
      </c>
      <c r="D2" s="56">
        <v>5</v>
      </c>
      <c r="E2" s="56">
        <v>6</v>
      </c>
      <c r="F2" s="56">
        <v>7</v>
      </c>
      <c r="G2" s="57">
        <v>8</v>
      </c>
    </row>
    <row r="3" spans="1:7">
      <c r="A3" s="60" t="s">
        <v>686</v>
      </c>
      <c r="B3" s="61">
        <v>1500</v>
      </c>
      <c r="C3" s="58">
        <v>7620</v>
      </c>
      <c r="D3" s="51">
        <v>7540</v>
      </c>
      <c r="E3" s="51">
        <v>6660</v>
      </c>
      <c r="F3" s="51">
        <v>6120</v>
      </c>
      <c r="G3" s="68">
        <v>7520</v>
      </c>
    </row>
    <row r="4" spans="1:7">
      <c r="A4" s="62" t="s">
        <v>687</v>
      </c>
      <c r="B4" s="63">
        <v>1800</v>
      </c>
      <c r="C4" s="59">
        <v>5940</v>
      </c>
      <c r="D4" s="50">
        <v>6720</v>
      </c>
      <c r="E4" s="50">
        <v>7720</v>
      </c>
      <c r="F4" s="50">
        <v>6860</v>
      </c>
      <c r="G4" s="69">
        <v>7210</v>
      </c>
    </row>
    <row r="5" spans="1:7">
      <c r="A5" s="62" t="s">
        <v>688</v>
      </c>
      <c r="B5" s="63">
        <v>2200</v>
      </c>
      <c r="C5" s="59">
        <v>6060</v>
      </c>
      <c r="D5" s="50">
        <v>7930</v>
      </c>
      <c r="E5" s="50">
        <v>7600</v>
      </c>
      <c r="F5" s="50">
        <v>5940</v>
      </c>
      <c r="G5" s="69">
        <v>5980</v>
      </c>
    </row>
    <row r="6" spans="1:7">
      <c r="A6" s="64" t="s">
        <v>689</v>
      </c>
      <c r="B6" s="65">
        <v>2700</v>
      </c>
      <c r="C6" s="70">
        <v>6430</v>
      </c>
      <c r="D6" s="71">
        <v>5960</v>
      </c>
      <c r="E6" s="71">
        <v>6400</v>
      </c>
      <c r="F6" s="71">
        <v>5560</v>
      </c>
      <c r="G6" s="72">
        <v>5810</v>
      </c>
    </row>
    <row r="8" spans="1:7">
      <c r="C8" s="74"/>
      <c r="D8" s="74"/>
      <c r="E8" s="74"/>
      <c r="F8" s="74"/>
      <c r="G8" s="74"/>
    </row>
    <row r="9" spans="1:7">
      <c r="C9" s="74"/>
      <c r="D9" s="74"/>
      <c r="E9" s="74"/>
      <c r="F9" s="74"/>
      <c r="G9" s="74"/>
    </row>
    <row r="10" spans="1:7">
      <c r="C10" s="48"/>
      <c r="D10" s="48"/>
      <c r="E10" s="48"/>
      <c r="F10" s="48"/>
      <c r="G10" s="48"/>
    </row>
    <row r="11" spans="1:7">
      <c r="C11" s="48"/>
      <c r="D11" s="48"/>
      <c r="E11" s="48"/>
      <c r="F11" s="48"/>
      <c r="G11" s="48"/>
    </row>
    <row r="12" spans="1:7">
      <c r="C12" s="48"/>
      <c r="D12" s="48"/>
      <c r="E12" s="48"/>
      <c r="F12" s="48"/>
      <c r="G12" s="48"/>
    </row>
    <row r="13" spans="1:7">
      <c r="C13" s="48"/>
      <c r="D13" s="48"/>
      <c r="E13" s="48"/>
      <c r="F13" s="48"/>
      <c r="G13" s="4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72C0-1748-40E4-93D4-24474DA59818}">
  <sheetPr>
    <tabColor rgb="FFCCECFF"/>
  </sheetPr>
  <dimension ref="A1:G13"/>
  <sheetViews>
    <sheetView showGridLines="0" workbookViewId="0">
      <selection activeCell="C8" sqref="C8"/>
    </sheetView>
  </sheetViews>
  <sheetFormatPr defaultRowHeight="14.65"/>
  <cols>
    <col min="1" max="1" width="13.28515625" customWidth="1"/>
    <col min="2" max="7" width="12.7109375" customWidth="1"/>
  </cols>
  <sheetData>
    <row r="1" spans="1:7">
      <c r="A1" s="73">
        <v>0.06</v>
      </c>
      <c r="B1" s="66" t="s">
        <v>683</v>
      </c>
      <c r="C1" s="52" t="s">
        <v>684</v>
      </c>
      <c r="D1" s="53"/>
      <c r="E1" s="53"/>
      <c r="F1" s="53"/>
      <c r="G1" s="54"/>
    </row>
    <row r="2" spans="1:7">
      <c r="A2" s="67"/>
      <c r="B2" s="49" t="s">
        <v>685</v>
      </c>
      <c r="C2" s="55">
        <v>4</v>
      </c>
      <c r="D2" s="56">
        <v>5</v>
      </c>
      <c r="E2" s="56">
        <v>6</v>
      </c>
      <c r="F2" s="56">
        <v>7</v>
      </c>
      <c r="G2" s="57">
        <v>8</v>
      </c>
    </row>
    <row r="3" spans="1:7">
      <c r="A3" s="60" t="s">
        <v>686</v>
      </c>
      <c r="B3" s="61">
        <v>1500</v>
      </c>
      <c r="C3" s="58">
        <v>5260</v>
      </c>
      <c r="D3" s="51">
        <v>6350</v>
      </c>
      <c r="E3" s="51">
        <v>6810</v>
      </c>
      <c r="F3" s="51">
        <v>5650</v>
      </c>
      <c r="G3" s="68">
        <v>6970</v>
      </c>
    </row>
    <row r="4" spans="1:7">
      <c r="A4" s="62" t="s">
        <v>687</v>
      </c>
      <c r="B4" s="63">
        <v>1800</v>
      </c>
      <c r="C4" s="59">
        <v>7860</v>
      </c>
      <c r="D4" s="50">
        <v>6200</v>
      </c>
      <c r="E4" s="50">
        <v>5820</v>
      </c>
      <c r="F4" s="50">
        <v>5870</v>
      </c>
      <c r="G4" s="69">
        <v>5200</v>
      </c>
    </row>
    <row r="5" spans="1:7">
      <c r="A5" s="62" t="s">
        <v>688</v>
      </c>
      <c r="B5" s="63">
        <v>2200</v>
      </c>
      <c r="C5" s="59">
        <v>7730</v>
      </c>
      <c r="D5" s="50">
        <v>6240</v>
      </c>
      <c r="E5" s="50">
        <v>6980</v>
      </c>
      <c r="F5" s="50">
        <v>5920</v>
      </c>
      <c r="G5" s="69">
        <v>5190</v>
      </c>
    </row>
    <row r="6" spans="1:7">
      <c r="A6" s="64" t="s">
        <v>689</v>
      </c>
      <c r="B6" s="65">
        <v>2700</v>
      </c>
      <c r="C6" s="70">
        <v>5120</v>
      </c>
      <c r="D6" s="71">
        <v>5040</v>
      </c>
      <c r="E6" s="71">
        <v>7440</v>
      </c>
      <c r="F6" s="71">
        <v>5640</v>
      </c>
      <c r="G6" s="72">
        <v>5740</v>
      </c>
    </row>
    <row r="8" spans="1:7">
      <c r="C8" s="74"/>
      <c r="D8" s="74"/>
      <c r="E8" s="74"/>
      <c r="F8" s="74"/>
      <c r="G8" s="74"/>
    </row>
    <row r="9" spans="1:7">
      <c r="C9" s="74"/>
      <c r="D9" s="74"/>
      <c r="E9" s="74"/>
      <c r="F9" s="74"/>
      <c r="G9" s="74"/>
    </row>
    <row r="10" spans="1:7">
      <c r="C10" s="48"/>
      <c r="D10" s="48"/>
      <c r="E10" s="48"/>
      <c r="F10" s="48"/>
      <c r="G10" s="48"/>
    </row>
    <row r="11" spans="1:7">
      <c r="C11" s="48"/>
      <c r="D11" s="48"/>
      <c r="E11" s="48"/>
      <c r="F11" s="48"/>
      <c r="G11" s="48"/>
    </row>
    <row r="12" spans="1:7">
      <c r="C12" s="48"/>
      <c r="D12" s="48"/>
      <c r="E12" s="48"/>
      <c r="F12" s="48"/>
      <c r="G12" s="48"/>
    </row>
    <row r="13" spans="1:7">
      <c r="C13" s="48"/>
      <c r="D13" s="48"/>
      <c r="E13" s="48"/>
      <c r="F13" s="48"/>
      <c r="G13" s="4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0417-CFD2-4A87-8931-F08D47F62D3D}">
  <sheetPr>
    <tabColor rgb="FFCCECFF"/>
  </sheetPr>
  <dimension ref="A1:G13"/>
  <sheetViews>
    <sheetView showGridLines="0" workbookViewId="0">
      <selection activeCell="G6" sqref="G6"/>
    </sheetView>
  </sheetViews>
  <sheetFormatPr defaultRowHeight="14.65"/>
  <cols>
    <col min="1" max="1" width="13.28515625" customWidth="1"/>
    <col min="2" max="7" width="12.7109375" customWidth="1"/>
  </cols>
  <sheetData>
    <row r="1" spans="1:7">
      <c r="A1" s="73">
        <v>6.5000000000000002E-2</v>
      </c>
      <c r="B1" s="66" t="s">
        <v>683</v>
      </c>
      <c r="C1" s="52" t="s">
        <v>684</v>
      </c>
      <c r="D1" s="53"/>
      <c r="E1" s="53"/>
      <c r="F1" s="53"/>
      <c r="G1" s="54"/>
    </row>
    <row r="2" spans="1:7">
      <c r="A2" s="67"/>
      <c r="B2" s="49" t="s">
        <v>685</v>
      </c>
      <c r="C2" s="55">
        <v>4</v>
      </c>
      <c r="D2" s="56">
        <v>5</v>
      </c>
      <c r="E2" s="56">
        <v>6</v>
      </c>
      <c r="F2" s="56">
        <v>7</v>
      </c>
      <c r="G2" s="57">
        <v>8</v>
      </c>
    </row>
    <row r="3" spans="1:7">
      <c r="A3" s="60" t="s">
        <v>686</v>
      </c>
      <c r="B3" s="61">
        <v>1500</v>
      </c>
      <c r="C3" s="58">
        <v>5100</v>
      </c>
      <c r="D3" s="51">
        <v>6270</v>
      </c>
      <c r="E3" s="51">
        <v>6700</v>
      </c>
      <c r="F3" s="51">
        <v>6410</v>
      </c>
      <c r="G3" s="68">
        <v>7600</v>
      </c>
    </row>
    <row r="4" spans="1:7">
      <c r="A4" s="62" t="s">
        <v>687</v>
      </c>
      <c r="B4" s="63">
        <v>1800</v>
      </c>
      <c r="C4" s="59">
        <v>6280</v>
      </c>
      <c r="D4" s="50">
        <v>6110</v>
      </c>
      <c r="E4" s="50">
        <v>7600</v>
      </c>
      <c r="F4" s="50">
        <v>6740</v>
      </c>
      <c r="G4" s="69">
        <v>6090</v>
      </c>
    </row>
    <row r="5" spans="1:7">
      <c r="A5" s="62" t="s">
        <v>688</v>
      </c>
      <c r="B5" s="63">
        <v>2200</v>
      </c>
      <c r="C5" s="59">
        <v>7240</v>
      </c>
      <c r="D5" s="50">
        <v>7490</v>
      </c>
      <c r="E5" s="50">
        <v>5130</v>
      </c>
      <c r="F5" s="50">
        <v>6240</v>
      </c>
      <c r="G5" s="69">
        <v>5910</v>
      </c>
    </row>
    <row r="6" spans="1:7">
      <c r="A6" s="64" t="s">
        <v>689</v>
      </c>
      <c r="B6" s="65">
        <v>2700</v>
      </c>
      <c r="C6" s="70">
        <v>7940</v>
      </c>
      <c r="D6" s="71">
        <v>5960</v>
      </c>
      <c r="E6" s="71">
        <v>5450</v>
      </c>
      <c r="F6" s="71">
        <v>7070</v>
      </c>
      <c r="G6" s="72">
        <v>6870</v>
      </c>
    </row>
    <row r="8" spans="1:7">
      <c r="C8" s="74"/>
      <c r="D8" s="74"/>
      <c r="E8" s="74"/>
      <c r="F8" s="74"/>
      <c r="G8" s="74"/>
    </row>
    <row r="9" spans="1:7">
      <c r="C9" s="74"/>
      <c r="D9" s="74"/>
      <c r="E9" s="74"/>
      <c r="F9" s="74"/>
      <c r="G9" s="74"/>
    </row>
    <row r="10" spans="1:7">
      <c r="C10" s="48"/>
      <c r="D10" s="48"/>
      <c r="E10" s="48"/>
      <c r="F10" s="48"/>
      <c r="G10" s="48"/>
    </row>
    <row r="11" spans="1:7">
      <c r="C11" s="48"/>
      <c r="D11" s="48"/>
      <c r="E11" s="48"/>
      <c r="F11" s="48"/>
      <c r="G11" s="48"/>
    </row>
    <row r="12" spans="1:7">
      <c r="C12" s="48"/>
      <c r="D12" s="48"/>
      <c r="E12" s="48"/>
      <c r="F12" s="48"/>
      <c r="G12" s="48"/>
    </row>
    <row r="13" spans="1:7">
      <c r="C13" s="48"/>
      <c r="D13" s="48"/>
      <c r="E13" s="48"/>
      <c r="F13" s="48"/>
      <c r="G13" s="4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8769-40BD-4FFB-973D-1D0086589510}">
  <sheetPr>
    <tabColor rgb="FFCCECFF"/>
  </sheetPr>
  <dimension ref="A1:G13"/>
  <sheetViews>
    <sheetView showGridLines="0" workbookViewId="0">
      <selection activeCell="C8" sqref="C8"/>
    </sheetView>
  </sheetViews>
  <sheetFormatPr defaultRowHeight="14.65"/>
  <cols>
    <col min="1" max="1" width="13.28515625" customWidth="1"/>
    <col min="2" max="7" width="12.7109375" customWidth="1"/>
  </cols>
  <sheetData>
    <row r="1" spans="1:7">
      <c r="A1" s="73">
        <v>7.0000000000000007E-2</v>
      </c>
      <c r="B1" s="66" t="s">
        <v>683</v>
      </c>
      <c r="C1" s="52" t="s">
        <v>684</v>
      </c>
      <c r="D1" s="53"/>
      <c r="E1" s="53"/>
      <c r="F1" s="53"/>
      <c r="G1" s="54"/>
    </row>
    <row r="2" spans="1:7">
      <c r="A2" s="67"/>
      <c r="B2" s="49" t="s">
        <v>685</v>
      </c>
      <c r="C2" s="55">
        <v>4</v>
      </c>
      <c r="D2" s="56">
        <v>5</v>
      </c>
      <c r="E2" s="56">
        <v>6</v>
      </c>
      <c r="F2" s="56">
        <v>7</v>
      </c>
      <c r="G2" s="57">
        <v>8</v>
      </c>
    </row>
    <row r="3" spans="1:7">
      <c r="A3" s="60" t="s">
        <v>686</v>
      </c>
      <c r="B3" s="61">
        <v>1500</v>
      </c>
      <c r="C3" s="58">
        <v>6150</v>
      </c>
      <c r="D3" s="51">
        <v>7690</v>
      </c>
      <c r="E3" s="51">
        <v>6230</v>
      </c>
      <c r="F3" s="51">
        <v>6440</v>
      </c>
      <c r="G3" s="68">
        <v>7160</v>
      </c>
    </row>
    <row r="4" spans="1:7">
      <c r="A4" s="62" t="s">
        <v>687</v>
      </c>
      <c r="B4" s="63">
        <v>1800</v>
      </c>
      <c r="C4" s="59">
        <v>7350</v>
      </c>
      <c r="D4" s="50">
        <v>5030</v>
      </c>
      <c r="E4" s="50">
        <v>7780</v>
      </c>
      <c r="F4" s="50">
        <v>6250</v>
      </c>
      <c r="G4" s="69">
        <v>6690</v>
      </c>
    </row>
    <row r="5" spans="1:7">
      <c r="A5" s="62" t="s">
        <v>688</v>
      </c>
      <c r="B5" s="63">
        <v>2200</v>
      </c>
      <c r="C5" s="59">
        <v>5610</v>
      </c>
      <c r="D5" s="50">
        <v>7680</v>
      </c>
      <c r="E5" s="50">
        <v>5130</v>
      </c>
      <c r="F5" s="50">
        <v>7260</v>
      </c>
      <c r="G5" s="69">
        <v>7350</v>
      </c>
    </row>
    <row r="6" spans="1:7">
      <c r="A6" s="64" t="s">
        <v>689</v>
      </c>
      <c r="B6" s="65">
        <v>2700</v>
      </c>
      <c r="C6" s="70">
        <v>6550</v>
      </c>
      <c r="D6" s="71">
        <v>5380</v>
      </c>
      <c r="E6" s="71">
        <v>6330</v>
      </c>
      <c r="F6" s="71">
        <v>7020</v>
      </c>
      <c r="G6" s="72">
        <v>6920</v>
      </c>
    </row>
    <row r="8" spans="1:7">
      <c r="C8" s="74"/>
      <c r="D8" s="74"/>
      <c r="E8" s="74"/>
      <c r="F8" s="74"/>
      <c r="G8" s="74"/>
    </row>
    <row r="9" spans="1:7">
      <c r="C9" s="74"/>
      <c r="D9" s="74"/>
      <c r="E9" s="74"/>
      <c r="F9" s="74"/>
      <c r="G9" s="74"/>
    </row>
    <row r="10" spans="1:7">
      <c r="C10" s="48"/>
      <c r="D10" s="48"/>
      <c r="E10" s="48"/>
      <c r="F10" s="48"/>
      <c r="G10" s="48"/>
    </row>
    <row r="11" spans="1:7">
      <c r="C11" s="48"/>
      <c r="D11" s="48"/>
      <c r="E11" s="48"/>
      <c r="F11" s="48"/>
      <c r="G11" s="48"/>
    </row>
    <row r="12" spans="1:7">
      <c r="C12" s="48"/>
      <c r="D12" s="48"/>
      <c r="E12" s="48"/>
      <c r="F12" s="48"/>
      <c r="G12" s="48"/>
    </row>
    <row r="13" spans="1:7">
      <c r="C13" s="48"/>
      <c r="D13" s="48"/>
      <c r="E13" s="48"/>
      <c r="F13" s="48"/>
      <c r="G13" s="4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2D20-C001-466C-AED1-F7BB9AA1FC26}">
  <sheetPr>
    <tabColor rgb="FFCCECFF"/>
  </sheetPr>
  <dimension ref="A1:G13"/>
  <sheetViews>
    <sheetView showGridLines="0" workbookViewId="0">
      <selection activeCell="C8" sqref="C8"/>
    </sheetView>
  </sheetViews>
  <sheetFormatPr defaultRowHeight="14.65"/>
  <cols>
    <col min="1" max="1" width="13.28515625" customWidth="1"/>
    <col min="2" max="7" width="12.7109375" customWidth="1"/>
  </cols>
  <sheetData>
    <row r="1" spans="1:7">
      <c r="A1" s="73">
        <v>7.4999999999999997E-2</v>
      </c>
      <c r="B1" s="66" t="s">
        <v>683</v>
      </c>
      <c r="C1" s="52" t="s">
        <v>684</v>
      </c>
      <c r="D1" s="53"/>
      <c r="E1" s="53"/>
      <c r="F1" s="53"/>
      <c r="G1" s="54"/>
    </row>
    <row r="2" spans="1:7">
      <c r="A2" s="67"/>
      <c r="B2" s="49" t="s">
        <v>685</v>
      </c>
      <c r="C2" s="55">
        <v>4</v>
      </c>
      <c r="D2" s="56">
        <v>5</v>
      </c>
      <c r="E2" s="56">
        <v>6</v>
      </c>
      <c r="F2" s="56">
        <v>7</v>
      </c>
      <c r="G2" s="57">
        <v>8</v>
      </c>
    </row>
    <row r="3" spans="1:7">
      <c r="A3" s="60" t="s">
        <v>686</v>
      </c>
      <c r="B3" s="61">
        <v>1500</v>
      </c>
      <c r="C3" s="58">
        <v>6240</v>
      </c>
      <c r="D3" s="51">
        <v>5320</v>
      </c>
      <c r="E3" s="51">
        <v>7500</v>
      </c>
      <c r="F3" s="51">
        <v>5770</v>
      </c>
      <c r="G3" s="68">
        <v>5220</v>
      </c>
    </row>
    <row r="4" spans="1:7">
      <c r="A4" s="62" t="s">
        <v>687</v>
      </c>
      <c r="B4" s="63">
        <v>1800</v>
      </c>
      <c r="C4" s="59">
        <v>5950</v>
      </c>
      <c r="D4" s="50">
        <v>7680</v>
      </c>
      <c r="E4" s="50">
        <v>5450</v>
      </c>
      <c r="F4" s="50">
        <v>5500</v>
      </c>
      <c r="G4" s="69">
        <v>6120</v>
      </c>
    </row>
    <row r="5" spans="1:7">
      <c r="A5" s="62" t="s">
        <v>688</v>
      </c>
      <c r="B5" s="63">
        <v>2200</v>
      </c>
      <c r="C5" s="59">
        <v>7420</v>
      </c>
      <c r="D5" s="50">
        <v>6480</v>
      </c>
      <c r="E5" s="50">
        <v>5480</v>
      </c>
      <c r="F5" s="50">
        <v>6430</v>
      </c>
      <c r="G5" s="69">
        <v>5480</v>
      </c>
    </row>
    <row r="6" spans="1:7">
      <c r="A6" s="64" t="s">
        <v>689</v>
      </c>
      <c r="B6" s="65">
        <v>2700</v>
      </c>
      <c r="C6" s="70">
        <v>7020</v>
      </c>
      <c r="D6" s="71">
        <v>7590</v>
      </c>
      <c r="E6" s="71">
        <v>5280</v>
      </c>
      <c r="F6" s="71">
        <v>5240</v>
      </c>
      <c r="G6" s="72">
        <v>6560</v>
      </c>
    </row>
    <row r="8" spans="1:7">
      <c r="C8" s="74"/>
      <c r="D8" s="74"/>
      <c r="E8" s="74"/>
      <c r="F8" s="74"/>
      <c r="G8" s="74"/>
    </row>
    <row r="9" spans="1:7">
      <c r="C9" s="74"/>
      <c r="D9" s="74"/>
      <c r="E9" s="74"/>
      <c r="F9" s="74"/>
      <c r="G9" s="74"/>
    </row>
    <row r="10" spans="1:7">
      <c r="C10" s="48"/>
      <c r="D10" s="48"/>
      <c r="E10" s="48"/>
      <c r="F10" s="48"/>
      <c r="G10" s="48"/>
    </row>
    <row r="11" spans="1:7">
      <c r="C11" s="48"/>
      <c r="D11" s="48"/>
      <c r="E11" s="48"/>
      <c r="F11" s="48"/>
      <c r="G11" s="48"/>
    </row>
    <row r="12" spans="1:7">
      <c r="C12" s="48"/>
      <c r="D12" s="48"/>
      <c r="E12" s="48"/>
      <c r="F12" s="48"/>
      <c r="G12" s="48"/>
    </row>
    <row r="13" spans="1:7">
      <c r="C13" s="48"/>
      <c r="D13" s="48"/>
      <c r="E13" s="48"/>
      <c r="F13" s="48"/>
      <c r="G13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Mayoh</dc:creator>
  <cp:keywords/>
  <dc:description/>
  <cp:lastModifiedBy/>
  <cp:revision/>
  <dcterms:created xsi:type="dcterms:W3CDTF">2017-11-16T07:17:50Z</dcterms:created>
  <dcterms:modified xsi:type="dcterms:W3CDTF">2026-01-05T20:48:24Z</dcterms:modified>
  <cp:category/>
  <cp:contentStatus/>
</cp:coreProperties>
</file>